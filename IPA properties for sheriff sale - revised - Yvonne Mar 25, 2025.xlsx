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reh.sharepoint.com/sites/OldDropbox/Shared Documents/Team/Shared with Shivansh/Equity in properties/"/>
    </mc:Choice>
  </mc:AlternateContent>
  <xr:revisionPtr revIDLastSave="10" documentId="8_{3FBD2816-842D-41A8-A636-721BDE5C360D}" xr6:coauthVersionLast="47" xr6:coauthVersionMax="47" xr10:uidLastSave="{9C0B4575-8BBA-4DCE-B38C-02A3F139A3F9}"/>
  <bookViews>
    <workbookView xWindow="-108" yWindow="-108" windowWidth="23256" windowHeight="12456" xr2:uid="{AF6A1E13-EC66-4751-8F30-926E1EBD3633}"/>
  </bookViews>
  <sheets>
    <sheet name="Sheet1" sheetId="4" r:id="rId1"/>
  </sheets>
  <definedNames>
    <definedName name="_xlnm._FilterDatabase" localSheetId="0" hidden="1">Sheet1!$A$1:$W$105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5" i="4" l="1"/>
  <c r="O56" i="4"/>
  <c r="M102" i="4"/>
  <c r="M100" i="4"/>
  <c r="M82" i="4"/>
  <c r="M77" i="4"/>
  <c r="M76" i="4"/>
  <c r="M75" i="4"/>
  <c r="M61" i="4"/>
  <c r="J97" i="4" l="1"/>
  <c r="J102" i="4"/>
  <c r="O102" i="4" s="1"/>
  <c r="J101" i="4"/>
  <c r="O101" i="4" s="1"/>
  <c r="J100" i="4"/>
  <c r="O100" i="4" s="1"/>
  <c r="O27" i="4"/>
  <c r="O28" i="4" s="1"/>
  <c r="O59" i="4"/>
  <c r="O92" i="4"/>
  <c r="M91" i="4"/>
  <c r="O91" i="4" s="1"/>
  <c r="O93" i="4" s="1"/>
  <c r="M6" i="4"/>
  <c r="O6" i="4" s="1"/>
  <c r="O54" i="4"/>
  <c r="M48" i="4"/>
  <c r="O48" i="4" s="1"/>
  <c r="M44" i="4"/>
  <c r="O44" i="4" s="1"/>
  <c r="O34" i="4"/>
  <c r="M33" i="4"/>
  <c r="O33" i="4" s="1"/>
  <c r="M32" i="4"/>
  <c r="O32" i="4" s="1"/>
  <c r="M21" i="4"/>
  <c r="O21" i="4" s="1"/>
  <c r="M19" i="4"/>
  <c r="O19" i="4" s="1"/>
  <c r="M18" i="4"/>
  <c r="O18" i="4" s="1"/>
  <c r="M8" i="4"/>
  <c r="O8" i="4" s="1"/>
  <c r="M12" i="4"/>
  <c r="O12" i="4" s="1"/>
  <c r="M10" i="4"/>
  <c r="O10" i="4" s="1"/>
  <c r="M9" i="4"/>
  <c r="O9" i="4" s="1"/>
  <c r="O88" i="4"/>
  <c r="O87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3" i="4"/>
  <c r="O49" i="4"/>
  <c r="O50" i="4"/>
  <c r="O47" i="4"/>
  <c r="O43" i="4"/>
  <c r="O42" i="4"/>
  <c r="O39" i="4"/>
  <c r="O40" i="4" s="1"/>
  <c r="O36" i="4"/>
  <c r="O35" i="4"/>
  <c r="O31" i="4"/>
  <c r="O30" i="4"/>
  <c r="O24" i="4"/>
  <c r="O25" i="4" s="1"/>
  <c r="O20" i="4"/>
  <c r="O17" i="4"/>
  <c r="O16" i="4"/>
  <c r="O15" i="4"/>
  <c r="O11" i="4"/>
  <c r="O5" i="4"/>
  <c r="O51" i="4" l="1"/>
  <c r="O57" i="4"/>
  <c r="O89" i="4"/>
  <c r="O85" i="4"/>
  <c r="O45" i="4"/>
  <c r="O103" i="4"/>
  <c r="O37" i="4"/>
  <c r="O13" i="4"/>
  <c r="O22" i="4"/>
  <c r="O105" i="4" l="1"/>
</calcChain>
</file>

<file path=xl/sharedStrings.xml><?xml version="1.0" encoding="utf-8"?>
<sst xmlns="http://schemas.openxmlformats.org/spreadsheetml/2006/main" count="1008" uniqueCount="431">
  <si>
    <t>NY</t>
  </si>
  <si>
    <t>Suffolk</t>
  </si>
  <si>
    <t>Coram</t>
  </si>
  <si>
    <t>Huntington</t>
  </si>
  <si>
    <t>Central Islip</t>
  </si>
  <si>
    <t>0400-026.00-02.00-048.000</t>
  </si>
  <si>
    <t>IPA ASSET MANAGEMENT LLC</t>
  </si>
  <si>
    <t>Nassau</t>
  </si>
  <si>
    <t>Freeport</t>
  </si>
  <si>
    <t>0200-983.30-08.00-009.000</t>
  </si>
  <si>
    <t>Shirley</t>
  </si>
  <si>
    <t>0200-316-00-08-00-014-000</t>
  </si>
  <si>
    <t>8 Heron Path</t>
  </si>
  <si>
    <t>2200-071.002-0002-042.200-0000</t>
  </si>
  <si>
    <t>Ulster</t>
  </si>
  <si>
    <t>New Paltz</t>
  </si>
  <si>
    <t>724 Old Post Rd</t>
  </si>
  <si>
    <t>0100-039-00-02-00-131-001</t>
  </si>
  <si>
    <t>Wyandanch</t>
  </si>
  <si>
    <t>64 N 16Th St</t>
  </si>
  <si>
    <t>0200-094.00-06.00-005.000</t>
  </si>
  <si>
    <t>Mt. Sinai</t>
  </si>
  <si>
    <t>6 Vineyard Way</t>
  </si>
  <si>
    <t>01577-1024</t>
  </si>
  <si>
    <t>New York</t>
  </si>
  <si>
    <t>520 E 81St St #2M</t>
  </si>
  <si>
    <t>0100-007.00-01.00-013.000</t>
  </si>
  <si>
    <t>Farmingdale</t>
  </si>
  <si>
    <t>45 Sarah Drive</t>
  </si>
  <si>
    <t>IP&amp;E HOLDING, LLC</t>
  </si>
  <si>
    <t>0100-112-00-04-00-006-000</t>
  </si>
  <si>
    <t>North Babylon</t>
  </si>
  <si>
    <t>40 Dollard Dr</t>
  </si>
  <si>
    <t>0600-115.01-01.00-016.000</t>
  </si>
  <si>
    <t>Calverton</t>
  </si>
  <si>
    <t>4 Calverton Ct</t>
  </si>
  <si>
    <t>IPA ASSET MGMT LLC</t>
  </si>
  <si>
    <t>0200-099-00-02-00-015-000</t>
  </si>
  <si>
    <t>Miller Place</t>
  </si>
  <si>
    <t>38 Parkside Ave</t>
  </si>
  <si>
    <t>0403-006.00-02.00-032.002 and .004</t>
  </si>
  <si>
    <t>Lloyd Harbor</t>
  </si>
  <si>
    <t>0200-974-60-04-00-065-000</t>
  </si>
  <si>
    <t>26 Appel Dr E</t>
  </si>
  <si>
    <t>2089-56-337-00-0361-UCA011800111</t>
  </si>
  <si>
    <t>Bellmore</t>
  </si>
  <si>
    <t>2390 Bedford Ave #A</t>
  </si>
  <si>
    <t>0102-002.00-02.00-081.000</t>
  </si>
  <si>
    <t>Babylon</t>
  </si>
  <si>
    <t>0500-140-00-03-00-075-000</t>
  </si>
  <si>
    <t>226 Leaf Ave</t>
  </si>
  <si>
    <t>0500-319.00-01.00-064.004</t>
  </si>
  <si>
    <t>Islip</t>
  </si>
  <si>
    <t>20 Whitman Ave</t>
  </si>
  <si>
    <t>0200-316-00-06-00-039-000</t>
  </si>
  <si>
    <t>2 Fox Path</t>
  </si>
  <si>
    <t>0100-088-00-01-00-035-000</t>
  </si>
  <si>
    <t>Deer Park</t>
  </si>
  <si>
    <t>184 W 3Rd St</t>
  </si>
  <si>
    <t>0200-983-20-06-00-001-000</t>
  </si>
  <si>
    <t>18 Rugby Dr</t>
  </si>
  <si>
    <t>472289 165.10-1-1</t>
  </si>
  <si>
    <t>Mount Sinai</t>
  </si>
  <si>
    <t>170 Hamlet Dr</t>
  </si>
  <si>
    <t>2289-08-212-00-0716-UCA010900104</t>
  </si>
  <si>
    <t>New Hyde Park</t>
  </si>
  <si>
    <t>1575 Hillside Ave #104</t>
  </si>
  <si>
    <t>IPA REALTY LLC</t>
  </si>
  <si>
    <t>0500-473-00-01-00-022-000</t>
  </si>
  <si>
    <t>West Islip</t>
  </si>
  <si>
    <t>15 Barberry Rd</t>
  </si>
  <si>
    <t>0800-132.02-01.00-119.000</t>
  </si>
  <si>
    <t>Smithtown</t>
  </si>
  <si>
    <t>0900-168.00-01.00-007.000</t>
  </si>
  <si>
    <t>Riverhead</t>
  </si>
  <si>
    <t>ISLAND PROPERTIES &amp; ASSOCIATES LLC</t>
  </si>
  <si>
    <t>0802-006-00-03-00-038-000</t>
  </si>
  <si>
    <t>Saint James</t>
  </si>
  <si>
    <t>1 Driftwood Ln</t>
  </si>
  <si>
    <t xml:space="preserve">Equity </t>
  </si>
  <si>
    <t xml:space="preserve">Mortgage </t>
  </si>
  <si>
    <t>Lis Pendens</t>
  </si>
  <si>
    <t>Sec/Block/Lot</t>
  </si>
  <si>
    <t>County</t>
  </si>
  <si>
    <t>State</t>
  </si>
  <si>
    <t>City</t>
  </si>
  <si>
    <t>Street</t>
  </si>
  <si>
    <t>Current Owner</t>
  </si>
  <si>
    <t>Title Report</t>
  </si>
  <si>
    <t>https://app.box.com/s/ujwev3lvlxv5v5v7akbyp3zcqqwaccxk</t>
  </si>
  <si>
    <t>https://app.box.com/s/37oyn4x94cr7e2e8fp8o77m9lyh6l59a</t>
  </si>
  <si>
    <t>https://app.box.com/s/2ifjy36jnltq2f1h4vbnyatmr30dq4j6</t>
  </si>
  <si>
    <t>https://app.box.com/s/kgsbnxix2eqsiq74jjs5b598darf715q</t>
  </si>
  <si>
    <t>https://app.box.com/s/3sg4l31jor3fz7d3mxf3se3bj38l5z24</t>
  </si>
  <si>
    <t>https://app.box.com/s/d13k2bjyheth454z89pvklulhx2ont7s</t>
  </si>
  <si>
    <t>https://app.box.com/s/hhue1szu2fg64jtfb8lsooibtwsbacvi</t>
  </si>
  <si>
    <t>https://app.box.com/s/ehsi4apsvu64j39fy1dvwpkqga2np1hm</t>
  </si>
  <si>
    <t>https://app.box.com/s/0yptjed6pcsikwl1uzxzur3tsr7yrbnc</t>
  </si>
  <si>
    <t>https://app.box.com/s/bn4j8o4pm8jj3mtzsjfqx8qxv15abxag</t>
  </si>
  <si>
    <t>https://app.box.com/s/spa42nsutvawsfoj3bb669501599yepq</t>
  </si>
  <si>
    <t>https://app.box.com/s/6mmel3x9rurfasyt4mpccuji0mvrhvcl</t>
  </si>
  <si>
    <t>https://app.box.com/s/6kou4zgheddnd1m03grif3z7udyw4krv</t>
  </si>
  <si>
    <t>https://app.box.com/s/knblkk9rj4p3mh46b25c183ou73lwlwg</t>
  </si>
  <si>
    <t>https://app.box.com/s/pd327mpyy6yomclqmd4fx59he832bb6e</t>
  </si>
  <si>
    <t>https://app.box.com/s/oag3330i4e3gql6awnb2s07wq7tuqnmy</t>
  </si>
  <si>
    <t>https://app.box.com/s/la4amh43klrzqpjokinw4ak43nwwgq9p</t>
  </si>
  <si>
    <t>https://app.box.com/s/ufyl2m3d23hpgn1is9xn3ndz9k9v64be</t>
  </si>
  <si>
    <t>2009-62-203-00-0051-0</t>
  </si>
  <si>
    <t>83 ANN DR S #S</t>
  </si>
  <si>
    <t>170 W TIANA RD</t>
  </si>
  <si>
    <t>HAMPTON BAYS</t>
  </si>
  <si>
    <t>473689 319.-6-10.</t>
  </si>
  <si>
    <t>91 W Shore Rd</t>
  </si>
  <si>
    <t>1140 Flanders Rd</t>
  </si>
  <si>
    <t>8 Stanley Dr</t>
  </si>
  <si>
    <t>119 Hidden Ponds Cir</t>
  </si>
  <si>
    <t>230 Ralph</t>
  </si>
  <si>
    <t>31 FO LLc</t>
  </si>
  <si>
    <t>85 Hudson</t>
  </si>
  <si>
    <t>Kingston</t>
  </si>
  <si>
    <t>https://app.box.com/s/948xqwgp5unmypmwo8e0ie76cancbjgo</t>
  </si>
  <si>
    <t>https://app.box.com/s/tphu870zgf0k6fx042cdu4rhmole9pyy</t>
  </si>
  <si>
    <t>https://app.box.com/s/sqxd530yhn6cxk9lekwz44tyavgcj8py</t>
  </si>
  <si>
    <t>https://app.box.com/s/hda83tvqbvvo8lq3cemdt0wwbgidmt1r</t>
  </si>
  <si>
    <t>https://app.box.com/s/erz0lyctxwqv5kwn0mo1wxb9yrn0ifpt</t>
  </si>
  <si>
    <t>https://app.box.com/s/hv9kiz70ukp826ghw7804no1b46v7ja9</t>
  </si>
  <si>
    <t>https://app.box.com/s/nyw6djwbhg1y29hmn274drs5emfbf8ol</t>
  </si>
  <si>
    <t>https://app.box.com/s/4g3s6n3pibpwl8tk87pf5cmd4dedgwe0</t>
  </si>
  <si>
    <t>https://app.box.com/s/oa9nh6cpfsh76f2cblvhk3yjjdu0ygel</t>
  </si>
  <si>
    <t>https://app.box.com/s/600n97v52p7fw0e8c0t8fcmasdpmpnt6</t>
  </si>
  <si>
    <t>0800-056.050-0002-008.000-0000</t>
  </si>
  <si>
    <t>https://app.box.com/s/0rth7mgb9loetrxbhgjqlv0jwpuvgcwt</t>
  </si>
  <si>
    <t>Mkt Value by Zillow</t>
  </si>
  <si>
    <t>Property Tax</t>
  </si>
  <si>
    <t>Transferred to an entity that David has ownership interest in</t>
  </si>
  <si>
    <t>Owned by 48 Wavecrest, LLC an entity owned by David</t>
  </si>
  <si>
    <t>Properties owned by Diane DeRosa - A co-defendant and sister of David</t>
  </si>
  <si>
    <t>David owns is currently under 82PO, LLC  which he is listed as the Sole Manager and has recently taken out a mortgage on this premises in the amount of $1,000,000.00</t>
  </si>
  <si>
    <t>David owns in the name of 1032, LLC and recently took out a mortgage in the amount of $427,000.00</t>
  </si>
  <si>
    <t>Long Island Investment, LLC, a defendant and entity that is owned by David and he is lender of record on following properties</t>
  </si>
  <si>
    <t>Long Island Investment, LLC, foreclosed following properties while Deed is owned by another entity also owned by David</t>
  </si>
  <si>
    <t>Properties given by David as collateral in Exhibit D page 39 of settlement agreement</t>
  </si>
  <si>
    <t>Already sent for execution by Sheriff</t>
  </si>
  <si>
    <t>1032C LLC</t>
  </si>
  <si>
    <t>472889 143.-4-62</t>
  </si>
  <si>
    <t>https://app.box.com/s/sbwyjetqyducubseye8ekq9s4xejwn2r</t>
  </si>
  <si>
    <t>114120 LLC</t>
  </si>
  <si>
    <t>PLAINVIEW RD</t>
  </si>
  <si>
    <t>WOODBURY</t>
  </si>
  <si>
    <t>13-00D-00-0135</t>
  </si>
  <si>
    <t>https://app.box.com/s/vuteacusoai65nchof9louk4yp8mep54</t>
  </si>
  <si>
    <t>120 PLAINVIEW RD</t>
  </si>
  <si>
    <t>13-00D-00-0130</t>
  </si>
  <si>
    <t>https://app.box.com/s/dzivtb2tdbsdsfzemeh0zet82fgov84n</t>
  </si>
  <si>
    <t>11EV LLC</t>
  </si>
  <si>
    <t>11 EVANS DR</t>
  </si>
  <si>
    <t>GLEN HEAD</t>
  </si>
  <si>
    <t>17-009-00-0173</t>
  </si>
  <si>
    <t>https://app.box.com/s/duh3gu57lzh9rdein56nrgzodczh8nt5</t>
  </si>
  <si>
    <t>11H LLC</t>
  </si>
  <si>
    <t>11 HIGH RIDGE LN</t>
  </si>
  <si>
    <t>OYSTER BAY</t>
  </si>
  <si>
    <t>24-024-00-0011</t>
  </si>
  <si>
    <t>https://app.box.com/s/f0ddca5baq5bn5pm62ma99wxmq533bg3</t>
  </si>
  <si>
    <t>159W LLC</t>
  </si>
  <si>
    <t>159 WOODLAND DR</t>
  </si>
  <si>
    <t>MASTIC BEACH</t>
  </si>
  <si>
    <t>472289 977.-5-14.</t>
  </si>
  <si>
    <t>https://app.box.com/s/8rx7z0y9bd35ekpy6wzz8z6x2jy8dulm</t>
  </si>
  <si>
    <t>15M LLC</t>
  </si>
  <si>
    <t>15 MIDWOOD AVE</t>
  </si>
  <si>
    <t>NESCONSET</t>
  </si>
  <si>
    <t>473489 112.-6-24</t>
  </si>
  <si>
    <t>https://app.box.com/s/fvh47k8qtuk36ejsybjnnb9qv9vzo5g6</t>
  </si>
  <si>
    <t>16011 LLC</t>
  </si>
  <si>
    <t>1601 JOHNSON AVE #1</t>
  </si>
  <si>
    <t>ELMONT</t>
  </si>
  <si>
    <t>32-470-00-0031</t>
  </si>
  <si>
    <t>https://app.box.com/s/8q2nxniz250eqqeium3iubogumv6ekgd</t>
  </si>
  <si>
    <t>166A LLC</t>
  </si>
  <si>
    <t>166 ARTIST LAKE DR</t>
  </si>
  <si>
    <t>MIDDLE ISLAND</t>
  </si>
  <si>
    <t>472289 434.-3-55.</t>
  </si>
  <si>
    <t>https://app.box.com/s/mvopqj9842554e42939ehr5lme69qvag</t>
  </si>
  <si>
    <t>21 OA LLC</t>
  </si>
  <si>
    <t>21 OAK TREE CT</t>
  </si>
  <si>
    <t>ALBERTSON</t>
  </si>
  <si>
    <t>07-318-00-0053</t>
  </si>
  <si>
    <t>https://app.box.com/s/sr2agbhgbbehq3mpq1uc7o00844tomt2</t>
  </si>
  <si>
    <t>253H LLC</t>
  </si>
  <si>
    <t>253 HAMPTON AVE</t>
  </si>
  <si>
    <t>EAST PATCHOGUE</t>
  </si>
  <si>
    <t>472289 958.-3-26.</t>
  </si>
  <si>
    <t>https://app.box.com/s/wrcebuk2qzqih7crdqsowqp3xleozlm0</t>
  </si>
  <si>
    <t>2914D LLC</t>
  </si>
  <si>
    <t>2914 DEVON AVE</t>
  </si>
  <si>
    <t>MEDFORD</t>
  </si>
  <si>
    <t>472289 659.-5-23.</t>
  </si>
  <si>
    <t>https://app.box.com/s/lxwcvogrjklyam9sv2o29c14xlwlpnfb</t>
  </si>
  <si>
    <t>2922O LLC</t>
  </si>
  <si>
    <t>2922 OCEANSIDE RD</t>
  </si>
  <si>
    <t>OCEANSIDE</t>
  </si>
  <si>
    <t>38-365-00-0107</t>
  </si>
  <si>
    <t>https://app.box.com/s/ud8m401sx3g88yziiw3qhn2vl8y6dd24</t>
  </si>
  <si>
    <t>43LA LLC</t>
  </si>
  <si>
    <t>43 LAGOON PL</t>
  </si>
  <si>
    <t>EAST ISLIP</t>
  </si>
  <si>
    <t>472889 320.-4-37</t>
  </si>
  <si>
    <t>https://app.box.com/s/p6at8pz6wzofg0mynminaxahxmh56pb2</t>
  </si>
  <si>
    <t>48TE LLC</t>
  </si>
  <si>
    <t>48 TEMPLE AVE</t>
  </si>
  <si>
    <t>RIVERHEAD</t>
  </si>
  <si>
    <t>473689 148.-1-54.</t>
  </si>
  <si>
    <t>https://app.box.com/s/xmagoxagjp6ltr79pt7wpwamw41xbi1v</t>
  </si>
  <si>
    <t>41HAR LLC</t>
  </si>
  <si>
    <t>41 HARTMAN HILL RD</t>
  </si>
  <si>
    <t>HUNTINGTON</t>
  </si>
  <si>
    <t>472689 189.-3.-73.</t>
  </si>
  <si>
    <t>https://app.box.com/s/tyvx4goqwtczk8wt4592d521thkdzd3s</t>
  </si>
  <si>
    <t>4PHE LLC</t>
  </si>
  <si>
    <t>4 PHEASANT CT</t>
  </si>
  <si>
    <t>STONY BROOK</t>
  </si>
  <si>
    <t>472289 386.-7-24.</t>
  </si>
  <si>
    <t>https://app.box.com/s/88ixw02kkayqs0tu9zraj5zcfitzrh6y</t>
  </si>
  <si>
    <t>60SW LLC</t>
  </si>
  <si>
    <t>60 S SWEZEYTOWN RD</t>
  </si>
  <si>
    <t>472289 400.-3-16.</t>
  </si>
  <si>
    <t>https://app.box.com/s/89xisckcswukoab2zkc2bespe5nzyhtl</t>
  </si>
  <si>
    <t>62 EA LLC</t>
  </si>
  <si>
    <t>62 EASTVIEW RD</t>
  </si>
  <si>
    <t>RONKONKOMA</t>
  </si>
  <si>
    <t>472889 10.-1-29</t>
  </si>
  <si>
    <t>https://app.box.com/s/wzwm4sx65nj91czp3shya51xlnl021bp</t>
  </si>
  <si>
    <t>665N LLC</t>
  </si>
  <si>
    <t>665 N DUNTON AVE</t>
  </si>
  <si>
    <t>472289 958.-2-15.19</t>
  </si>
  <si>
    <t>https://app.box.com/s/y2fwzst368xqqfj4w4bt3o4xav118gk2</t>
  </si>
  <si>
    <t>791P LLC</t>
  </si>
  <si>
    <t>791 PECAN ST</t>
  </si>
  <si>
    <t>LINDENHURST</t>
  </si>
  <si>
    <t>472005 21.-5-35</t>
  </si>
  <si>
    <t>https://app.box.com/s/ro7s5fqggo0kvq7crp08tg33qt9syf19</t>
  </si>
  <si>
    <t>82YA LLC</t>
  </si>
  <si>
    <t>82 YALE AVE</t>
  </si>
  <si>
    <t>OAKDALE</t>
  </si>
  <si>
    <t>472889 303.-1-53</t>
  </si>
  <si>
    <t>https://app.box.com/s/gr9gl4aydt3xk55dlxkzdl3w8g60bj1s</t>
  </si>
  <si>
    <t>8IN LLC</t>
  </si>
  <si>
    <t>8 INGRAM DR</t>
  </si>
  <si>
    <t>HICKSVILLE</t>
  </si>
  <si>
    <t>12-631-00-0057</t>
  </si>
  <si>
    <t>https://app.box.com/s/z1i4vkoevqkxtthzvmse2znzhyg7gjht</t>
  </si>
  <si>
    <t>GMR REAL ESTATE HOLDINGS LP</t>
  </si>
  <si>
    <t>32 JANE ST</t>
  </si>
  <si>
    <t>ROSLYN HEIGHTS</t>
  </si>
  <si>
    <t>2289-07-301-00-0003-0</t>
  </si>
  <si>
    <t>https://app.box.com/s/tel4lvjdysw7li0ugio5ol2405lx0ke3</t>
  </si>
  <si>
    <t>GOO LLC</t>
  </si>
  <si>
    <t>8 GOOSE HILL RD</t>
  </si>
  <si>
    <t>COLD SPRING HARBOR</t>
  </si>
  <si>
    <t>472689 17.-2.-26.</t>
  </si>
  <si>
    <t>https://app.box.com/s/ra2nra8ywaidz350lvsug6w23xjrd7nc</t>
  </si>
  <si>
    <t>PHRGROUP LLC</t>
  </si>
  <si>
    <t>42 PINE HOLLOW RD</t>
  </si>
  <si>
    <t>2489-24-B-00-0212-0</t>
  </si>
  <si>
    <t>https://app.box.com/s/4ts90omu3abh6wc3p85ot8wvazu0z6ng</t>
  </si>
  <si>
    <t>58 PINE HOLLOW RD</t>
  </si>
  <si>
    <t>2489-24-B-00-0841-0</t>
  </si>
  <si>
    <t>https://app.box.com/s/2f63ea66ya04sblhp03ka0a4i70igwdn</t>
  </si>
  <si>
    <t>REO EQUITY MNGMT LLC</t>
  </si>
  <si>
    <t>32 W MASEM SQ</t>
  </si>
  <si>
    <t>472289 979.70-3-13.</t>
  </si>
  <si>
    <t>https://app.box.com/s/v8bdv7uxo1cjrbl25oarqio3t6y7yntt</t>
  </si>
  <si>
    <t>!</t>
  </si>
  <si>
    <t>Mkt Value John</t>
  </si>
  <si>
    <t xml:space="preserve">Name of Lender </t>
  </si>
  <si>
    <r>
      <t xml:space="preserve">IPA owned properties that need to be sent to </t>
    </r>
    <r>
      <rPr>
        <b/>
        <sz val="14"/>
        <color rgb="FFFF0000"/>
        <rFont val="Aptos Narrow"/>
        <family val="2"/>
        <scheme val="minor"/>
      </rPr>
      <t>Suffolk</t>
    </r>
    <r>
      <rPr>
        <b/>
        <sz val="14"/>
        <color rgb="FF002060"/>
        <rFont val="Aptos Narrow"/>
        <family val="2"/>
        <scheme val="minor"/>
      </rPr>
      <t xml:space="preserve"> County Sheriff week of </t>
    </r>
    <r>
      <rPr>
        <b/>
        <sz val="14"/>
        <color rgb="FFFF0000"/>
        <rFont val="Aptos Narrow"/>
        <family val="2"/>
        <scheme val="minor"/>
      </rPr>
      <t>Sept 16th</t>
    </r>
  </si>
  <si>
    <r>
      <t xml:space="preserve">IPA owned properties that need to be sent to </t>
    </r>
    <r>
      <rPr>
        <b/>
        <sz val="14"/>
        <color rgb="FFFF0000"/>
        <rFont val="Aptos Narrow"/>
        <family val="2"/>
        <scheme val="minor"/>
      </rPr>
      <t>Nassau</t>
    </r>
    <r>
      <rPr>
        <b/>
        <sz val="14"/>
        <color rgb="FF002060"/>
        <rFont val="Aptos Narrow"/>
        <family val="2"/>
        <scheme val="minor"/>
      </rPr>
      <t xml:space="preserve"> County Sheriff week of </t>
    </r>
    <r>
      <rPr>
        <b/>
        <sz val="14"/>
        <color rgb="FFFF0000"/>
        <rFont val="Aptos Narrow"/>
        <family val="2"/>
        <scheme val="minor"/>
      </rPr>
      <t>Sept 16th</t>
    </r>
  </si>
  <si>
    <t xml:space="preserve">Fraudulent conveyance by IPA </t>
  </si>
  <si>
    <r>
      <t xml:space="preserve">IPA owned properties that need to be sent to </t>
    </r>
    <r>
      <rPr>
        <b/>
        <sz val="14"/>
        <color rgb="FFFF0000"/>
        <rFont val="Aptos Narrow"/>
        <family val="2"/>
        <scheme val="minor"/>
      </rPr>
      <t>New York</t>
    </r>
    <r>
      <rPr>
        <b/>
        <sz val="14"/>
        <color rgb="FF002060"/>
        <rFont val="Aptos Narrow"/>
        <family val="2"/>
        <scheme val="minor"/>
      </rPr>
      <t xml:space="preserve"> County Sheriff week of </t>
    </r>
    <r>
      <rPr>
        <b/>
        <sz val="14"/>
        <color rgb="FFFF0000"/>
        <rFont val="Aptos Narrow"/>
        <family val="2"/>
        <scheme val="minor"/>
      </rPr>
      <t>Sept 16th</t>
    </r>
  </si>
  <si>
    <t>Status of this property and if David is planning to buy this property</t>
  </si>
  <si>
    <t>JP to check if this is a rental</t>
  </si>
  <si>
    <t>31 Fort Hill</t>
  </si>
  <si>
    <t>What can we do to enforce our judgement against this LLc.</t>
  </si>
  <si>
    <t>1082 Connectquot Avenue</t>
  </si>
  <si>
    <t>What can we do to collect the rent on these properties</t>
  </si>
  <si>
    <t>Dix Hills</t>
  </si>
  <si>
    <t>82 Powell Avenue</t>
  </si>
  <si>
    <t>South Hampton</t>
  </si>
  <si>
    <t>LONG ISLAND INVESTMENTS</t>
  </si>
  <si>
    <t>472689 281.-2.-66.1</t>
  </si>
  <si>
    <t>473605 9.-2-34.</t>
  </si>
  <si>
    <t>82 CO LLC</t>
  </si>
  <si>
    <t>TOBIAS CALDWELL / MARY CALDWELL</t>
  </si>
  <si>
    <t>227 W Neck Road</t>
  </si>
  <si>
    <t>472689 20.-2.-32.3</t>
  </si>
  <si>
    <t>11 Railroad Street</t>
  </si>
  <si>
    <t>MICHAEL F LENAHAN</t>
  </si>
  <si>
    <t>137 Cedarhurst Street</t>
  </si>
  <si>
    <t>Islip Terrace</t>
  </si>
  <si>
    <t>472889 208.-2-45</t>
  </si>
  <si>
    <t>13 Dolphin Way</t>
  </si>
  <si>
    <t>BRIAN DETMER</t>
  </si>
  <si>
    <t>473000 17.-2-27</t>
  </si>
  <si>
    <t>91 GORDON AVE BABYLON INC</t>
  </si>
  <si>
    <t>91 Gordon Avenue</t>
  </si>
  <si>
    <t>West Babylon</t>
  </si>
  <si>
    <t>472089 103.-1-62</t>
  </si>
  <si>
    <t>48 WAVECREST DRIVE LLC</t>
  </si>
  <si>
    <t>31FO LLC</t>
  </si>
  <si>
    <t>DIANA DEROSA / KYRIAKI BOUZIOTAS</t>
  </si>
  <si>
    <t>60 Central Parkway</t>
  </si>
  <si>
    <t>472689 95.-3.-68.</t>
  </si>
  <si>
    <t>KEVIN LANG / JANET LANG</t>
  </si>
  <si>
    <t>14 Tulip Drive</t>
  </si>
  <si>
    <t>472605 1.-2.-13.</t>
  </si>
  <si>
    <t>266 Pine Acres Boulevard</t>
  </si>
  <si>
    <t>https://app.box.com/s/asugxdatb4lqcbjy3z5ern85rw7trwar</t>
  </si>
  <si>
    <t>https://app.box.com/s/lt0qevfal6op61qfy0yrzj4t2k3pc1hc</t>
  </si>
  <si>
    <t>https://app.box.com/s/fr1kjaa1vefg29pr0pjsgdd545bu6wvx</t>
  </si>
  <si>
    <t>https://app.box.com/s/o00s8vai5bfrfkznmy3v7mwbpp22th87</t>
  </si>
  <si>
    <t>https://app.box.com/s/mnaga7ndad00jkhb9hkjhm0nn5mnvhwk</t>
  </si>
  <si>
    <t>11 RAILRD ST HUNTINGT INC</t>
  </si>
  <si>
    <t>0400-140-00-03-00-106-002</t>
  </si>
  <si>
    <t>https://app.box.com/s/7wxefq3rnoupre9pcuonv05yh7r3bsfl</t>
  </si>
  <si>
    <t>https://app.box.com/s/ebk2upr19jpsi4mz117dq0gojxy2a70u</t>
  </si>
  <si>
    <t>https://app.box.com/s/d0bs8xfxlz2qpm3oye2ipxpu9z6p4vhm</t>
  </si>
  <si>
    <t>https://app.box.com/s/purpuybnpdzlpob8xaij07fllzf6suaj</t>
  </si>
  <si>
    <t>https://app.box.com/s/thoi12jvgib0rgs4ihn3qwi511h4g10w</t>
  </si>
  <si>
    <t>Total estimated value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</si>
  <si>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</si>
  <si>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</si>
  <si>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</si>
  <si>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</si>
  <si>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</si>
  <si>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</si>
  <si>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</si>
  <si>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</si>
  <si>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</si>
  <si>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</si>
  <si>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</si>
  <si>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</si>
  <si>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</si>
  <si>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Serial No</t>
  </si>
  <si>
    <t>Already Sent to Sheriff</t>
  </si>
  <si>
    <t>Rented by IPA</t>
  </si>
  <si>
    <t>* This property is categorized in two or more sections</t>
  </si>
  <si>
    <t>Except 91 Gordon - rest are duplicates</t>
  </si>
  <si>
    <t>Sold to Barberry Partners for $600,000 Donald Henig is the sole member - Barberry then sold to Errasmo and Francesca Oddo for $790K-</t>
  </si>
  <si>
    <t>Stipulation and Order from the Court entered on February 16, 2022 -properties sold after Order</t>
  </si>
  <si>
    <t>Legend</t>
  </si>
  <si>
    <t>IPA to 230R LLC owned by David? for $50K recorded 5/9/24</t>
  </si>
  <si>
    <t>IPA to 18RU LLC owned by David? recorded 4/26/24 for $275K</t>
  </si>
  <si>
    <t>IPA to 6Vin LLC owned by David? for $50K recorded 4/29/24</t>
  </si>
  <si>
    <t>Three deeds recorded on 4/12/2024 - Estate to IPA then IPA to 170WE LLC then 170WE LLC to Diane Osorio for $410K</t>
  </si>
  <si>
    <t>TOBIAS CALDWELL who works as handyman for IPA / MARY CALDWELL</t>
  </si>
  <si>
    <t>In the name of the refree</t>
  </si>
  <si>
    <t>Should be sent to Sheriff for execution of judgement</t>
  </si>
  <si>
    <t>Properties owned by Matt Tannenbaum himself or as agent but we suspect owned by David in the LLC formed</t>
  </si>
  <si>
    <t>RE Taxes Owed</t>
  </si>
  <si>
    <t>Grand Total</t>
  </si>
  <si>
    <t>Mortgage on this property</t>
  </si>
  <si>
    <t>To pursue a fraudulent conveyance as our Court order is dated prior to the conveyance of these properties which directly violates Stipulation and Order Section 1 which was entered on February 16, 2022 by the Honorable Jerome C Murphy.</t>
  </si>
  <si>
    <t>Sold to third party</t>
  </si>
  <si>
    <t>Schedule C properties Sold and money not deposited in Escrow</t>
  </si>
  <si>
    <t xml:space="preserve">Properties removed from Sheriff execution list </t>
  </si>
  <si>
    <t xml:space="preserve">Schedule C Properties </t>
  </si>
  <si>
    <t>Yvonne's Comments 2024</t>
  </si>
  <si>
    <t>Yvonne's Comments 2025</t>
  </si>
  <si>
    <t xml:space="preserve">Active Foreclosure  </t>
  </si>
  <si>
    <t>Matt Case</t>
  </si>
  <si>
    <t>Judgement</t>
  </si>
  <si>
    <t xml:space="preserve">Fradulent </t>
  </si>
  <si>
    <t>Phil</t>
  </si>
  <si>
    <t>no -partition action</t>
  </si>
  <si>
    <t>judgment listed</t>
  </si>
  <si>
    <t>as of 3/20 title vested in IPA Mortgage on this property -Barberry Partners is mortgagee which also owned 15 Barberry Partners LLC- Donald Honig an associate of David</t>
  </si>
  <si>
    <t>NO</t>
  </si>
  <si>
    <t>mortgage</t>
  </si>
  <si>
    <t>NOT LISTED</t>
  </si>
  <si>
    <t>David took out a mtge after judgment was filed</t>
  </si>
  <si>
    <t>continue with sale</t>
  </si>
  <si>
    <t>mortgage on property</t>
  </si>
  <si>
    <t>yes</t>
  </si>
  <si>
    <t>Assign L/R</t>
  </si>
  <si>
    <t>IPA trasnferred to *HE LLC after our judgment -property with active foreclosure - we should pursue an assignment of leases and rents from the tenants</t>
  </si>
  <si>
    <t>IPA in title as of 3/20</t>
  </si>
  <si>
    <t>listed</t>
  </si>
  <si>
    <t>vested in 40 DO LLC from IPA after our judgment</t>
  </si>
  <si>
    <t>continue  with sheriff's sale / assign l/r</t>
  </si>
  <si>
    <t>vested in 26 AP LLC from IPA after our judgment</t>
  </si>
  <si>
    <t>federal tax lien from prior owner</t>
  </si>
  <si>
    <t>no</t>
  </si>
  <si>
    <t>IPA remains in title</t>
  </si>
  <si>
    <t xml:space="preserve"> conveyed after our judgment</t>
  </si>
  <si>
    <t>Assign l/r</t>
  </si>
  <si>
    <t>IPA in title as of 3/20-CONTINUE WITH SALE</t>
  </si>
  <si>
    <t>mtge was discharged</t>
  </si>
  <si>
    <t>conveyed to a third party despite our LP but before our judgment</t>
  </si>
  <si>
    <t>YES</t>
  </si>
  <si>
    <t>NO -conveyed prior</t>
  </si>
  <si>
    <t>IPA conveyed to 6Vin then 6Vin took out a mortgage we did not receive our monies</t>
  </si>
  <si>
    <t>Shannon was also listed on 6Vin Deed in the record and return</t>
  </si>
  <si>
    <t>this was sold to a third party for $1,000,000</t>
  </si>
  <si>
    <t>MAKE SURE JUDGMENT IS LISTED</t>
  </si>
  <si>
    <t>not listed</t>
  </si>
  <si>
    <t>previously was owned by an entity owned by David I think search needs to be confirmed</t>
  </si>
  <si>
    <t>convyed from 8GOO llc to third party after our judgment</t>
  </si>
  <si>
    <t>deed was delivered on 7/22/24</t>
  </si>
  <si>
    <t xml:space="preserve">Diana is in title -took a reverse mtge for $1,725,000 </t>
  </si>
  <si>
    <t>send to sheriff</t>
  </si>
  <si>
    <t>IP&amp;E LLC entity owned by David and mortgaged-mechanics lien by total restoration for $350K</t>
  </si>
  <si>
    <t>ipa conveyed to 520e llc after our judgment-david is a sole member of both entities</t>
  </si>
  <si>
    <t>must confirm</t>
  </si>
  <si>
    <t>vested in Long Island Investments</t>
  </si>
  <si>
    <t>assign l/r</t>
  </si>
  <si>
    <t>ipa conveyed to 18RU 4/26/24 and took out a mortgage for $247K</t>
  </si>
  <si>
    <t>set sale</t>
  </si>
  <si>
    <t>set sale- Assign L/R- built rite commercialroofing company 631-646-2681</t>
  </si>
  <si>
    <t>sold to third party Diana Osorio</t>
  </si>
  <si>
    <t>Ipa changed 50%  vesting to another of their inhouse entities</t>
  </si>
  <si>
    <t>foreclose 11/24 went back to bank</t>
  </si>
  <si>
    <t>no -bank owned</t>
  </si>
  <si>
    <t>IPA remains in title-</t>
  </si>
  <si>
    <t>ipa remians in title</t>
  </si>
  <si>
    <t>went back to Bank in foreclosure but David will continue to negotiate getting the property and collecting rents during this time</t>
  </si>
  <si>
    <t xml:space="preserve">foreclosed </t>
  </si>
  <si>
    <t>david sold this in the name of one of his other entities to a third party now currently a mortgage of $450k on property</t>
  </si>
  <si>
    <t>ipa in title</t>
  </si>
  <si>
    <t>vested in IPA Realty</t>
  </si>
  <si>
    <t>ipa asset remains in title-continue with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</si>
</sst>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2"/>
      <color theme="1"/>
      <name val="Calibri"/>
      <family val="2"/>
    </font>
    <font>
      <b/>
      <sz val="14"/>
      <color rgb="FFFF0000"/>
      <name val="Aptos Narrow"/>
      <family val="2"/>
      <scheme val="minor"/>
    </font>
    <font>
      <sz val="12"/>
      <color rgb="FFFF0000"/>
      <name val="Calibri"/>
      <family val="2"/>
    </font>
    <font>
      <sz val="11"/>
      <color theme="4" tint="-0.249977111117893"/>
      <name val="Aptos Narrow"/>
      <family val="2"/>
      <scheme val="minor"/>
    </font>
    <font>
      <sz val="14"/>
      <color rgb="FFC00000"/>
      <name val="ADLaM Display"/>
    </font>
    <font>
      <sz val="12"/>
      <color rgb="FF9C0006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8" fillId="3" borderId="0" applyNumberFormat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6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0" fontId="3" fillId="0" borderId="0" xfId="1" applyFill="1" applyAlignment="1"/>
    <xf numFmtId="0" fontId="5" fillId="0" borderId="0" xfId="0" applyFont="1"/>
    <xf numFmtId="0" fontId="3" fillId="0" borderId="0" xfId="1"/>
    <xf numFmtId="0" fontId="7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 applyAlignment="1">
      <alignment vertical="center"/>
    </xf>
    <xf numFmtId="6" fontId="9" fillId="0" borderId="0" xfId="0" applyNumberFormat="1" applyFont="1"/>
    <xf numFmtId="0" fontId="14" fillId="0" borderId="0" xfId="0" applyFont="1" applyAlignment="1">
      <alignment vertical="center"/>
    </xf>
    <xf numFmtId="0" fontId="0" fillId="0" borderId="0" xfId="0" applyAlignment="1">
      <alignment wrapText="1"/>
    </xf>
    <xf numFmtId="14" fontId="3" fillId="0" borderId="0" xfId="1" applyNumberFormat="1"/>
    <xf numFmtId="6" fontId="1" fillId="0" borderId="1" xfId="0" applyNumberFormat="1" applyFont="1" applyBorder="1"/>
    <xf numFmtId="0" fontId="0" fillId="2" borderId="0" xfId="0" applyFill="1"/>
    <xf numFmtId="6" fontId="0" fillId="0" borderId="0" xfId="0" applyNumberFormat="1"/>
    <xf numFmtId="6" fontId="15" fillId="0" borderId="0" xfId="0" applyNumberFormat="1" applyFont="1"/>
    <xf numFmtId="6" fontId="15" fillId="0" borderId="1" xfId="0" applyNumberFormat="1" applyFont="1" applyBorder="1"/>
    <xf numFmtId="0" fontId="0" fillId="0" borderId="0" xfId="0" applyAlignment="1">
      <alignment horizontal="center"/>
    </xf>
    <xf numFmtId="0" fontId="11" fillId="0" borderId="0" xfId="0" applyFont="1" applyAlignment="1">
      <alignment horizontal="left" indent="1"/>
    </xf>
    <xf numFmtId="0" fontId="5" fillId="2" borderId="0" xfId="0" applyFont="1" applyFill="1"/>
    <xf numFmtId="0" fontId="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" fillId="4" borderId="0" xfId="0" applyFont="1" applyFill="1"/>
    <xf numFmtId="0" fontId="17" fillId="3" borderId="0" xfId="2" applyFont="1"/>
    <xf numFmtId="0" fontId="0" fillId="4" borderId="0" xfId="0" applyFill="1" applyAlignment="1">
      <alignment horizontal="center"/>
    </xf>
    <xf numFmtId="0" fontId="7" fillId="2" borderId="0" xfId="0" applyFont="1" applyFill="1" applyAlignment="1">
      <alignment horizontal="righ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3" fillId="0" borderId="0" xfId="1" applyFill="1"/>
    <xf numFmtId="0" fontId="7" fillId="0" borderId="0" xfId="0" applyFont="1" applyAlignment="1">
      <alignment horizontal="center"/>
    </xf>
    <xf numFmtId="6" fontId="21" fillId="0" borderId="0" xfId="0" applyNumberFormat="1" applyFont="1"/>
    <xf numFmtId="6" fontId="7" fillId="0" borderId="2" xfId="0" applyNumberFormat="1" applyFont="1" applyBorder="1"/>
    <xf numFmtId="0" fontId="7" fillId="0" borderId="0" xfId="0" applyFont="1" applyAlignment="1">
      <alignment horizontal="center" wrapText="1"/>
    </xf>
  </cellXfs>
  <cellStyles count="3">
    <cellStyle name="Bad" xfId="2" builtinId="27"/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box.com/s/4g3s6n3pibpwl8tk87pf5cmd4dedgwe0" TargetMode="External"/><Relationship Id="rId21" Type="http://schemas.openxmlformats.org/officeDocument/2006/relationships/hyperlink" Target="https://app.box.com/s/hda83tvqbvvo8lq3cemdt0wwbgidmt1r" TargetMode="External"/><Relationship Id="rId42" Type="http://schemas.openxmlformats.org/officeDocument/2006/relationships/hyperlink" Target="https://app.box.com/s/lxwcvogrjklyam9sv2o29c14xlwlpnfb" TargetMode="External"/><Relationship Id="rId47" Type="http://schemas.openxmlformats.org/officeDocument/2006/relationships/hyperlink" Target="https://app.box.com/s/88ixw02kkayqs0tu9zraj5zcfitzrh6y" TargetMode="External"/><Relationship Id="rId63" Type="http://schemas.openxmlformats.org/officeDocument/2006/relationships/hyperlink" Target="https://app.box.com/s/fr1kjaa1vefg29pr0pjsgdd545bu6wvx" TargetMode="External"/><Relationship Id="rId68" Type="http://schemas.openxmlformats.org/officeDocument/2006/relationships/hyperlink" Target="https://app.box.com/s/d0bs8xfxlz2qpm3oye2ipxpu9z6p4vhm" TargetMode="External"/><Relationship Id="rId7" Type="http://schemas.openxmlformats.org/officeDocument/2006/relationships/hyperlink" Target="https://app.box.com/s/hhue1szu2fg64jtfb8lsooibtwsbacvi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app.box.com/s/37oyn4x94cr7e2e8fp8o77m9lyh6l59a" TargetMode="External"/><Relationship Id="rId16" Type="http://schemas.openxmlformats.org/officeDocument/2006/relationships/hyperlink" Target="https://app.box.com/s/la4amh43klrzqpjokinw4ak43nwwgq9p" TargetMode="External"/><Relationship Id="rId29" Type="http://schemas.openxmlformats.org/officeDocument/2006/relationships/hyperlink" Target="https://app.box.com/s/0rth7mgb9loetrxbhgjqlv0jwpuvgcwt" TargetMode="External"/><Relationship Id="rId11" Type="http://schemas.openxmlformats.org/officeDocument/2006/relationships/hyperlink" Target="https://app.box.com/s/spa42nsutvawsfoj3bb669501599yepq" TargetMode="External"/><Relationship Id="rId24" Type="http://schemas.openxmlformats.org/officeDocument/2006/relationships/hyperlink" Target="https://app.box.com/s/nyw6djwbhg1y29hmn274drs5emfbf8ol" TargetMode="External"/><Relationship Id="rId32" Type="http://schemas.openxmlformats.org/officeDocument/2006/relationships/hyperlink" Target="https://app.box.com/s/sbwyjetqyducubseye8ekq9s4xejwn2r" TargetMode="External"/><Relationship Id="rId37" Type="http://schemas.openxmlformats.org/officeDocument/2006/relationships/hyperlink" Target="https://app.box.com/s/fvh47k8qtuk36ejsybjnnb9qv9vzo5g6" TargetMode="External"/><Relationship Id="rId40" Type="http://schemas.openxmlformats.org/officeDocument/2006/relationships/hyperlink" Target="https://app.box.com/s/sr2agbhgbbehq3mpq1uc7o00844tomt2" TargetMode="External"/><Relationship Id="rId45" Type="http://schemas.openxmlformats.org/officeDocument/2006/relationships/hyperlink" Target="https://app.box.com/s/xmagoxagjp6ltr79pt7wpwamw41xbi1v" TargetMode="External"/><Relationship Id="rId53" Type="http://schemas.openxmlformats.org/officeDocument/2006/relationships/hyperlink" Target="https://app.box.com/s/ra2nra8ywaidz350lvsug6w23xjrd7nc" TargetMode="External"/><Relationship Id="rId58" Type="http://schemas.openxmlformats.org/officeDocument/2006/relationships/hyperlink" Target="https://app.box.com/s/v8bdv7uxo1cjrbl25oarqio3t6y7yntt" TargetMode="External"/><Relationship Id="rId66" Type="http://schemas.openxmlformats.org/officeDocument/2006/relationships/hyperlink" Target="https://app.box.com/s/7wxefq3rnoupre9pcuonv05yh7r3bsfl" TargetMode="External"/><Relationship Id="rId5" Type="http://schemas.openxmlformats.org/officeDocument/2006/relationships/hyperlink" Target="https://app.box.com/s/3sg4l31jor3fz7d3mxf3se3bj38l5z24" TargetMode="External"/><Relationship Id="rId61" Type="http://schemas.openxmlformats.org/officeDocument/2006/relationships/hyperlink" Target="https://app.box.com/s/asugxdatb4lqcbjy3z5ern85rw7trwar" TargetMode="External"/><Relationship Id="rId19" Type="http://schemas.openxmlformats.org/officeDocument/2006/relationships/hyperlink" Target="https://app.box.com/s/tphu870zgf0k6fx042cdu4rhmole9pyy" TargetMode="External"/><Relationship Id="rId14" Type="http://schemas.openxmlformats.org/officeDocument/2006/relationships/hyperlink" Target="https://app.box.com/s/pd327mpyy6yomclqmd4fx59he832bb6e" TargetMode="External"/><Relationship Id="rId22" Type="http://schemas.openxmlformats.org/officeDocument/2006/relationships/hyperlink" Target="https://app.box.com/s/erz0lyctxwqv5kwn0mo1wxb9yrn0ifpt" TargetMode="External"/><Relationship Id="rId27" Type="http://schemas.openxmlformats.org/officeDocument/2006/relationships/hyperlink" Target="https://app.box.com/s/oa9nh6cpfsh76f2cblvhk3yjjdu0ygel" TargetMode="External"/><Relationship Id="rId30" Type="http://schemas.openxmlformats.org/officeDocument/2006/relationships/hyperlink" Target="https://app.box.com/s/oa9nh6cpfsh76f2cblvhk3yjjdu0ygel" TargetMode="External"/><Relationship Id="rId35" Type="http://schemas.openxmlformats.org/officeDocument/2006/relationships/hyperlink" Target="https://app.box.com/s/duh3gu57lzh9rdein56nrgzodczh8nt5" TargetMode="External"/><Relationship Id="rId43" Type="http://schemas.openxmlformats.org/officeDocument/2006/relationships/hyperlink" Target="https://app.box.com/s/ud8m401sx3g88yziiw3qhn2vl8y6dd24" TargetMode="External"/><Relationship Id="rId48" Type="http://schemas.openxmlformats.org/officeDocument/2006/relationships/hyperlink" Target="https://app.box.com/s/89xisckcswukoab2zkc2bespe5nzyhtl" TargetMode="External"/><Relationship Id="rId56" Type="http://schemas.openxmlformats.org/officeDocument/2006/relationships/hyperlink" Target="https://app.box.com/s/4ts90omu3abh6wc3p85ot8wvazu0z6ng" TargetMode="External"/><Relationship Id="rId64" Type="http://schemas.openxmlformats.org/officeDocument/2006/relationships/hyperlink" Target="https://app.box.com/s/o00s8vai5bfrfkznmy3v7mwbpp22th87" TargetMode="External"/><Relationship Id="rId69" Type="http://schemas.openxmlformats.org/officeDocument/2006/relationships/hyperlink" Target="https://app.box.com/s/purpuybnpdzlpob8xaij07fllzf6suaj" TargetMode="External"/><Relationship Id="rId8" Type="http://schemas.openxmlformats.org/officeDocument/2006/relationships/hyperlink" Target="https://app.box.com/s/ehsi4apsvu64j39fy1dvwpkqga2np1hm" TargetMode="External"/><Relationship Id="rId51" Type="http://schemas.openxmlformats.org/officeDocument/2006/relationships/hyperlink" Target="https://app.box.com/s/ro7s5fqggo0kvq7crp08tg33qt9syf19" TargetMode="External"/><Relationship Id="rId3" Type="http://schemas.openxmlformats.org/officeDocument/2006/relationships/hyperlink" Target="https://app.box.com/s/2ifjy36jnltq2f1h4vbnyatmr30dq4j6" TargetMode="External"/><Relationship Id="rId12" Type="http://schemas.openxmlformats.org/officeDocument/2006/relationships/hyperlink" Target="https://app.box.com/s/6mmel3x9rurfasyt4mpccuji0mvrhvcl" TargetMode="External"/><Relationship Id="rId17" Type="http://schemas.openxmlformats.org/officeDocument/2006/relationships/hyperlink" Target="https://app.box.com/s/ufyl2m3d23hpgn1is9xn3ndz9k9v64be" TargetMode="External"/><Relationship Id="rId25" Type="http://schemas.openxmlformats.org/officeDocument/2006/relationships/hyperlink" Target="https://app.box.com/s/6kou4zgheddnd1m03grif3z7udyw4krv" TargetMode="External"/><Relationship Id="rId33" Type="http://schemas.openxmlformats.org/officeDocument/2006/relationships/hyperlink" Target="https://app.box.com/s/vuteacusoai65nchof9louk4yp8mep54" TargetMode="External"/><Relationship Id="rId38" Type="http://schemas.openxmlformats.org/officeDocument/2006/relationships/hyperlink" Target="https://app.box.com/s/8q2nxniz250eqqeium3iubogumv6ekgd" TargetMode="External"/><Relationship Id="rId46" Type="http://schemas.openxmlformats.org/officeDocument/2006/relationships/hyperlink" Target="https://app.box.com/s/tyvx4goqwtczk8wt4592d521thkdzd3s" TargetMode="External"/><Relationship Id="rId59" Type="http://schemas.openxmlformats.org/officeDocument/2006/relationships/hyperlink" Target="https://app.box.com/s/6kou4zgheddnd1m03grif3z7udyw4krv" TargetMode="External"/><Relationship Id="rId67" Type="http://schemas.openxmlformats.org/officeDocument/2006/relationships/hyperlink" Target="https://app.box.com/s/ebk2upr19jpsi4mz117dq0gojxy2a70u" TargetMode="External"/><Relationship Id="rId20" Type="http://schemas.openxmlformats.org/officeDocument/2006/relationships/hyperlink" Target="https://app.box.com/s/sqxd530yhn6cxk9lekwz44tyavgcj8py" TargetMode="External"/><Relationship Id="rId41" Type="http://schemas.openxmlformats.org/officeDocument/2006/relationships/hyperlink" Target="https://app.box.com/s/wrcebuk2qzqih7crdqsowqp3xleozlm0" TargetMode="External"/><Relationship Id="rId54" Type="http://schemas.openxmlformats.org/officeDocument/2006/relationships/hyperlink" Target="https://app.box.com/s/z1i4vkoevqkxtthzvmse2znzhyg7gjht" TargetMode="External"/><Relationship Id="rId62" Type="http://schemas.openxmlformats.org/officeDocument/2006/relationships/hyperlink" Target="https://app.box.com/s/fr1kjaa1vefg29pr0pjsgdd545bu6wvx" TargetMode="External"/><Relationship Id="rId70" Type="http://schemas.openxmlformats.org/officeDocument/2006/relationships/hyperlink" Target="https://app.box.com/s/thoi12jvgib0rgs4ihn3qwi511h4g10w" TargetMode="External"/><Relationship Id="rId1" Type="http://schemas.openxmlformats.org/officeDocument/2006/relationships/hyperlink" Target="https://app.box.com/s/ujwev3lvlxv5v5v7akbyp3zcqqwaccxk" TargetMode="External"/><Relationship Id="rId6" Type="http://schemas.openxmlformats.org/officeDocument/2006/relationships/hyperlink" Target="https://app.box.com/s/d13k2bjyheth454z89pvklulhx2ont7s" TargetMode="External"/><Relationship Id="rId15" Type="http://schemas.openxmlformats.org/officeDocument/2006/relationships/hyperlink" Target="https://app.box.com/s/oag3330i4e3gql6awnb2s07wq7tuqnmy" TargetMode="External"/><Relationship Id="rId23" Type="http://schemas.openxmlformats.org/officeDocument/2006/relationships/hyperlink" Target="https://app.box.com/s/hv9kiz70ukp826ghw7804no1b46v7ja9" TargetMode="External"/><Relationship Id="rId28" Type="http://schemas.openxmlformats.org/officeDocument/2006/relationships/hyperlink" Target="https://app.box.com/s/600n97v52p7fw0e8c0t8fcmasdpmpnt6" TargetMode="External"/><Relationship Id="rId36" Type="http://schemas.openxmlformats.org/officeDocument/2006/relationships/hyperlink" Target="https://app.box.com/s/f0ddca5baq5bn5pm62ma99wxmq533bg3" TargetMode="External"/><Relationship Id="rId49" Type="http://schemas.openxmlformats.org/officeDocument/2006/relationships/hyperlink" Target="https://app.box.com/s/wzwm4sx65nj91czp3shya51xlnl021bp" TargetMode="External"/><Relationship Id="rId57" Type="http://schemas.openxmlformats.org/officeDocument/2006/relationships/hyperlink" Target="https://app.box.com/s/2f63ea66ya04sblhp03ka0a4i70igwdn" TargetMode="External"/><Relationship Id="rId10" Type="http://schemas.openxmlformats.org/officeDocument/2006/relationships/hyperlink" Target="https://app.box.com/s/bn4j8o4pm8jj3mtzsjfqx8qxv15abxag" TargetMode="External"/><Relationship Id="rId31" Type="http://schemas.openxmlformats.org/officeDocument/2006/relationships/hyperlink" Target="https://app.box.com/s/8rx7z0y9bd35ekpy6wzz8z6x2jy8dulm" TargetMode="External"/><Relationship Id="rId44" Type="http://schemas.openxmlformats.org/officeDocument/2006/relationships/hyperlink" Target="https://app.box.com/s/p6at8pz6wzofg0mynminaxahxmh56pb2" TargetMode="External"/><Relationship Id="rId52" Type="http://schemas.openxmlformats.org/officeDocument/2006/relationships/hyperlink" Target="https://app.box.com/s/gr9gl4aydt3xk55dlxkzdl3w8g60bj1s" TargetMode="External"/><Relationship Id="rId60" Type="http://schemas.openxmlformats.org/officeDocument/2006/relationships/hyperlink" Target="https://app.box.com/s/lt0qevfal6op61qfy0yrzj4t2k3pc1hc" TargetMode="External"/><Relationship Id="rId65" Type="http://schemas.openxmlformats.org/officeDocument/2006/relationships/hyperlink" Target="https://app.box.com/s/mnaga7ndad00jkhb9hkjhm0nn5mnvhwk" TargetMode="External"/><Relationship Id="rId4" Type="http://schemas.openxmlformats.org/officeDocument/2006/relationships/hyperlink" Target="https://app.box.com/s/kgsbnxix2eqsiq74jjs5b598darf715q" TargetMode="External"/><Relationship Id="rId9" Type="http://schemas.openxmlformats.org/officeDocument/2006/relationships/hyperlink" Target="https://app.box.com/s/0yptjed6pcsikwl1uzxzur3tsr7yrbnc" TargetMode="External"/><Relationship Id="rId13" Type="http://schemas.openxmlformats.org/officeDocument/2006/relationships/hyperlink" Target="https://app.box.com/s/knblkk9rj4p3mh46b25c183ou73lwlwg" TargetMode="External"/><Relationship Id="rId18" Type="http://schemas.openxmlformats.org/officeDocument/2006/relationships/hyperlink" Target="https://app.box.com/s/948xqwgp5unmypmwo8e0ie76cancbjgo" TargetMode="External"/><Relationship Id="rId39" Type="http://schemas.openxmlformats.org/officeDocument/2006/relationships/hyperlink" Target="https://app.box.com/s/mvopqj9842554e42939ehr5lme69qvag" TargetMode="External"/><Relationship Id="rId34" Type="http://schemas.openxmlformats.org/officeDocument/2006/relationships/hyperlink" Target="https://app.box.com/s/dzivtb2tdbsdsfzemeh0zet82fgov84n" TargetMode="External"/><Relationship Id="rId50" Type="http://schemas.openxmlformats.org/officeDocument/2006/relationships/hyperlink" Target="https://app.box.com/s/y2fwzst368xqqfj4w4bt3o4xav118gk2" TargetMode="External"/><Relationship Id="rId55" Type="http://schemas.openxmlformats.org/officeDocument/2006/relationships/hyperlink" Target="https://app.box.com/s/tel4lvjdysw7li0ugio5ol2405lx0k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2776-0E55-44C3-B5F4-28E48B0AD222}">
  <dimension ref="A1:AH106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9.21875" defaultRowHeight="14.4" x14ac:dyDescent="0.3"/>
  <cols>
    <col min="1" max="1" width="7.6640625" style="27" customWidth="1"/>
    <col min="2" max="2" width="32.88671875" customWidth="1"/>
    <col min="3" max="3" width="20.6640625" bestFit="1" customWidth="1"/>
    <col min="4" max="4" width="14.88671875" customWidth="1"/>
    <col min="5" max="5" width="6.6640625" customWidth="1"/>
    <col min="6" max="6" width="12.21875" customWidth="1"/>
    <col min="7" max="7" width="31.6640625" customWidth="1"/>
    <col min="8" max="8" width="45.88671875" customWidth="1"/>
    <col min="9" max="10" width="12.88671875" customWidth="1"/>
    <col min="11" max="11" width="9" customWidth="1"/>
    <col min="12" max="12" width="10.5546875" customWidth="1"/>
    <col min="13" max="13" width="12" customWidth="1"/>
    <col min="14" max="14" width="10.21875" customWidth="1"/>
    <col min="15" max="15" width="15" customWidth="1"/>
    <col min="16" max="23" width="9.21875" customWidth="1"/>
    <col min="24" max="24" width="3.6640625" customWidth="1"/>
    <col min="25" max="25" width="27.6640625" customWidth="1"/>
    <col min="26" max="26" width="17" customWidth="1"/>
    <col min="27" max="31" width="14.6640625" customWidth="1"/>
    <col min="32" max="32" width="3.6640625" customWidth="1"/>
    <col min="33" max="33" width="50.6640625" customWidth="1"/>
    <col min="34" max="34" width="3.6640625" customWidth="1"/>
    <col min="35" max="36" width="14.6640625" customWidth="1"/>
  </cols>
  <sheetData>
    <row r="1" spans="1:34" s="14" customFormat="1" ht="36" x14ac:dyDescent="0.35">
      <c r="A1" s="13" t="s">
        <v>343</v>
      </c>
      <c r="B1" s="13" t="s">
        <v>87</v>
      </c>
      <c r="C1" s="13" t="s">
        <v>86</v>
      </c>
      <c r="D1" s="13" t="s">
        <v>85</v>
      </c>
      <c r="E1" s="13" t="s">
        <v>84</v>
      </c>
      <c r="F1" s="13" t="s">
        <v>83</v>
      </c>
      <c r="G1" s="13" t="s">
        <v>82</v>
      </c>
      <c r="H1" s="13" t="s">
        <v>88</v>
      </c>
      <c r="I1" s="13" t="s">
        <v>274</v>
      </c>
      <c r="J1" s="13" t="s">
        <v>132</v>
      </c>
      <c r="K1" s="13" t="s">
        <v>133</v>
      </c>
      <c r="L1" s="13" t="s">
        <v>81</v>
      </c>
      <c r="M1" s="13" t="s">
        <v>80</v>
      </c>
      <c r="N1" s="13" t="s">
        <v>359</v>
      </c>
      <c r="O1" s="13" t="s">
        <v>79</v>
      </c>
      <c r="P1" s="14" t="s">
        <v>275</v>
      </c>
      <c r="X1" s="14" t="s">
        <v>273</v>
      </c>
      <c r="Y1" s="15" t="s">
        <v>368</v>
      </c>
      <c r="Z1" s="43" t="s">
        <v>369</v>
      </c>
      <c r="AA1" s="43" t="s">
        <v>370</v>
      </c>
      <c r="AB1" s="43" t="s">
        <v>371</v>
      </c>
      <c r="AC1" s="43" t="s">
        <v>372</v>
      </c>
      <c r="AD1" s="43" t="s">
        <v>373</v>
      </c>
      <c r="AE1" s="43"/>
      <c r="AF1" s="14" t="s">
        <v>273</v>
      </c>
      <c r="AG1" s="13" t="s">
        <v>367</v>
      </c>
      <c r="AH1" s="14" t="s">
        <v>273</v>
      </c>
    </row>
    <row r="2" spans="1:34" s="14" customFormat="1" ht="15.6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AG2" s="15"/>
    </row>
    <row r="3" spans="1:34" ht="18" customHeight="1" x14ac:dyDescent="0.35">
      <c r="B3" s="35" t="s">
        <v>350</v>
      </c>
      <c r="C3" s="34" t="s">
        <v>345</v>
      </c>
      <c r="D3" s="33" t="s">
        <v>346</v>
      </c>
      <c r="E3" s="33"/>
      <c r="F3" s="33"/>
      <c r="G3" s="33" t="s">
        <v>285</v>
      </c>
      <c r="H3" s="33"/>
      <c r="X3" s="14" t="s">
        <v>273</v>
      </c>
      <c r="AF3" s="14" t="s">
        <v>273</v>
      </c>
      <c r="AG3" s="16"/>
      <c r="AH3" s="14" t="s">
        <v>273</v>
      </c>
    </row>
    <row r="4" spans="1:34" ht="18" customHeight="1" x14ac:dyDescent="0.4">
      <c r="A4" s="31" t="s">
        <v>330</v>
      </c>
      <c r="B4" s="10" t="s">
        <v>344</v>
      </c>
      <c r="X4" s="14" t="s">
        <v>273</v>
      </c>
      <c r="AF4" s="14" t="s">
        <v>273</v>
      </c>
      <c r="AG4" s="16"/>
      <c r="AH4" s="14" t="s">
        <v>273</v>
      </c>
    </row>
    <row r="5" spans="1:34" s="1" customFormat="1" ht="18" customHeight="1" x14ac:dyDescent="0.35">
      <c r="A5" s="2">
        <v>1</v>
      </c>
      <c r="B5" s="1" t="s">
        <v>75</v>
      </c>
      <c r="C5" s="1" t="s">
        <v>113</v>
      </c>
      <c r="D5" s="1" t="s">
        <v>74</v>
      </c>
      <c r="E5" s="1" t="s">
        <v>0</v>
      </c>
      <c r="F5" s="1" t="s">
        <v>1</v>
      </c>
      <c r="G5" s="1" t="s">
        <v>73</v>
      </c>
      <c r="H5" s="9" t="s">
        <v>91</v>
      </c>
      <c r="I5" s="3">
        <v>1431654</v>
      </c>
      <c r="J5" s="3">
        <v>971300</v>
      </c>
      <c r="K5" s="3">
        <v>37038</v>
      </c>
      <c r="L5" s="3"/>
      <c r="M5" s="3">
        <v>600000</v>
      </c>
      <c r="N5" s="3">
        <v>0</v>
      </c>
      <c r="O5" s="3">
        <f>+J5-L5-M5-N5</f>
        <v>371300</v>
      </c>
      <c r="P5"/>
      <c r="Q5"/>
      <c r="R5"/>
      <c r="S5"/>
      <c r="T5"/>
      <c r="X5" s="14" t="s">
        <v>273</v>
      </c>
      <c r="Y5" s="1" t="s">
        <v>376</v>
      </c>
      <c r="Z5" s="1" t="s">
        <v>374</v>
      </c>
      <c r="AA5" s="1" t="s">
        <v>377</v>
      </c>
      <c r="AB5" s="1" t="s">
        <v>375</v>
      </c>
      <c r="AC5" s="1" t="s">
        <v>377</v>
      </c>
      <c r="AE5" s="1" t="s">
        <v>378</v>
      </c>
      <c r="AF5" s="14" t="s">
        <v>273</v>
      </c>
      <c r="AG5" s="16"/>
      <c r="AH5" s="14" t="s">
        <v>273</v>
      </c>
    </row>
    <row r="6" spans="1:34" ht="18" customHeight="1" x14ac:dyDescent="0.35">
      <c r="A6" s="2">
        <v>2</v>
      </c>
      <c r="B6" s="4" t="s">
        <v>117</v>
      </c>
      <c r="C6" t="s">
        <v>282</v>
      </c>
      <c r="D6" s="1" t="s">
        <v>41</v>
      </c>
      <c r="E6" s="1" t="s">
        <v>0</v>
      </c>
      <c r="F6" s="1" t="s">
        <v>1</v>
      </c>
      <c r="G6" s="1" t="s">
        <v>40</v>
      </c>
      <c r="H6" s="11" t="s">
        <v>128</v>
      </c>
      <c r="I6" s="3">
        <v>10000000</v>
      </c>
      <c r="J6" s="3">
        <v>6116400</v>
      </c>
      <c r="K6" s="3"/>
      <c r="L6" s="3"/>
      <c r="M6" s="3">
        <f>2950000+77741</f>
        <v>3027741</v>
      </c>
      <c r="N6" s="3"/>
      <c r="O6" s="3">
        <f t="shared" ref="O6:O12" si="0">+J6-L6-M6-N6</f>
        <v>3088659</v>
      </c>
      <c r="X6" s="14" t="s">
        <v>273</v>
      </c>
      <c r="Y6" t="s">
        <v>380</v>
      </c>
      <c r="Z6" s="6" t="s">
        <v>377</v>
      </c>
      <c r="AA6" t="s">
        <v>377</v>
      </c>
      <c r="AB6" t="s">
        <v>379</v>
      </c>
      <c r="AD6" t="s">
        <v>381</v>
      </c>
      <c r="AE6" t="s">
        <v>382</v>
      </c>
      <c r="AF6" s="14" t="s">
        <v>273</v>
      </c>
      <c r="AG6" s="16"/>
      <c r="AH6" s="14" t="s">
        <v>273</v>
      </c>
    </row>
    <row r="7" spans="1:34" ht="18" customHeight="1" x14ac:dyDescent="0.35">
      <c r="A7" s="2"/>
      <c r="B7" s="4"/>
      <c r="D7" s="1"/>
      <c r="E7" s="1"/>
      <c r="F7" s="1"/>
      <c r="G7" s="1"/>
      <c r="H7" s="11"/>
      <c r="I7" s="3"/>
      <c r="J7" s="3"/>
      <c r="K7" s="3"/>
      <c r="L7" s="3"/>
      <c r="M7" s="3"/>
      <c r="N7" s="3"/>
      <c r="O7" s="3"/>
      <c r="X7" s="14"/>
      <c r="Z7" s="6"/>
      <c r="AF7" s="14"/>
      <c r="AG7" s="16"/>
      <c r="AH7" s="14"/>
    </row>
    <row r="8" spans="1:34" s="6" customFormat="1" ht="18" customHeight="1" x14ac:dyDescent="0.35">
      <c r="A8" s="2">
        <v>3</v>
      </c>
      <c r="B8" s="4" t="s">
        <v>6</v>
      </c>
      <c r="C8" s="32" t="s">
        <v>12</v>
      </c>
      <c r="D8" s="1" t="s">
        <v>2</v>
      </c>
      <c r="E8" s="1" t="s">
        <v>0</v>
      </c>
      <c r="F8" s="1" t="s">
        <v>1</v>
      </c>
      <c r="G8" s="1" t="s">
        <v>11</v>
      </c>
      <c r="H8" s="9" t="s">
        <v>104</v>
      </c>
      <c r="I8" s="3">
        <v>416667</v>
      </c>
      <c r="J8" s="3">
        <v>487600</v>
      </c>
      <c r="K8" s="3">
        <v>8811</v>
      </c>
      <c r="L8" s="3"/>
      <c r="M8" s="3">
        <f>301750+1+3950+0</f>
        <v>305701</v>
      </c>
      <c r="N8" s="3">
        <v>0</v>
      </c>
      <c r="O8" s="3">
        <f t="shared" si="0"/>
        <v>181899</v>
      </c>
      <c r="P8"/>
      <c r="Q8"/>
      <c r="R8"/>
      <c r="S8"/>
      <c r="T8"/>
      <c r="X8" s="14" t="s">
        <v>273</v>
      </c>
      <c r="Y8" s="1" t="s">
        <v>385</v>
      </c>
      <c r="Z8" s="1" t="s">
        <v>383</v>
      </c>
      <c r="AA8" s="6" t="s">
        <v>383</v>
      </c>
      <c r="AB8" s="1" t="s">
        <v>387</v>
      </c>
      <c r="AC8" s="5" t="s">
        <v>394</v>
      </c>
      <c r="AD8" s="6" t="s">
        <v>384</v>
      </c>
      <c r="AF8" s="14" t="s">
        <v>273</v>
      </c>
      <c r="AG8" s="16" t="s">
        <v>361</v>
      </c>
      <c r="AH8" s="14" t="s">
        <v>273</v>
      </c>
    </row>
    <row r="9" spans="1:34" s="6" customFormat="1" ht="18" customHeight="1" x14ac:dyDescent="0.35">
      <c r="A9" s="2">
        <v>4</v>
      </c>
      <c r="B9" s="1" t="s">
        <v>6</v>
      </c>
      <c r="C9" s="32" t="s">
        <v>114</v>
      </c>
      <c r="D9" s="1" t="s">
        <v>10</v>
      </c>
      <c r="E9" s="1" t="s">
        <v>0</v>
      </c>
      <c r="F9" s="1" t="s">
        <v>1</v>
      </c>
      <c r="G9" s="1" t="s">
        <v>9</v>
      </c>
      <c r="H9" s="9" t="s">
        <v>105</v>
      </c>
      <c r="I9" s="3">
        <v>337963</v>
      </c>
      <c r="J9" s="3">
        <v>467800</v>
      </c>
      <c r="K9" s="3">
        <v>6502</v>
      </c>
      <c r="L9" s="3"/>
      <c r="M9" s="3">
        <f>268000+67000</f>
        <v>335000</v>
      </c>
      <c r="N9" s="3"/>
      <c r="O9" s="3">
        <f t="shared" si="0"/>
        <v>132800</v>
      </c>
      <c r="X9" s="14" t="s">
        <v>273</v>
      </c>
      <c r="Y9" s="1" t="s">
        <v>386</v>
      </c>
      <c r="Z9" s="1" t="s">
        <v>383</v>
      </c>
      <c r="AB9" s="1" t="s">
        <v>387</v>
      </c>
      <c r="AD9" s="6" t="s">
        <v>384</v>
      </c>
      <c r="AE9" s="1" t="s">
        <v>382</v>
      </c>
      <c r="AF9" s="14" t="s">
        <v>273</v>
      </c>
      <c r="AG9" s="16"/>
      <c r="AH9" s="14" t="s">
        <v>273</v>
      </c>
    </row>
    <row r="10" spans="1:34" s="1" customFormat="1" ht="18" customHeight="1" x14ac:dyDescent="0.35">
      <c r="A10" s="2">
        <v>5</v>
      </c>
      <c r="B10" s="1" t="s">
        <v>6</v>
      </c>
      <c r="C10" s="32" t="s">
        <v>115</v>
      </c>
      <c r="D10" s="1" t="s">
        <v>72</v>
      </c>
      <c r="E10" s="1" t="s">
        <v>0</v>
      </c>
      <c r="F10" s="1" t="s">
        <v>1</v>
      </c>
      <c r="G10" s="1" t="s">
        <v>71</v>
      </c>
      <c r="H10" s="9" t="s">
        <v>92</v>
      </c>
      <c r="I10" s="3">
        <v>609000</v>
      </c>
      <c r="J10" s="3">
        <v>643800</v>
      </c>
      <c r="K10" s="3"/>
      <c r="L10" s="3"/>
      <c r="M10" s="3">
        <f>356250+663</f>
        <v>356913</v>
      </c>
      <c r="N10" s="3"/>
      <c r="O10" s="3">
        <f t="shared" si="0"/>
        <v>286887</v>
      </c>
      <c r="X10" s="14" t="s">
        <v>273</v>
      </c>
      <c r="Y10" s="1" t="s">
        <v>428</v>
      </c>
      <c r="Z10" s="1" t="s">
        <v>383</v>
      </c>
      <c r="AB10" s="1" t="s">
        <v>387</v>
      </c>
      <c r="AD10" s="1" t="s">
        <v>384</v>
      </c>
      <c r="AF10" s="14" t="s">
        <v>273</v>
      </c>
      <c r="AG10" s="16" t="s">
        <v>361</v>
      </c>
      <c r="AH10" s="14" t="s">
        <v>273</v>
      </c>
    </row>
    <row r="11" spans="1:34" s="1" customFormat="1" ht="18" customHeight="1" x14ac:dyDescent="0.35">
      <c r="A11" s="2">
        <v>6</v>
      </c>
      <c r="B11" s="4" t="s">
        <v>6</v>
      </c>
      <c r="C11" s="1" t="s">
        <v>43</v>
      </c>
      <c r="D11" s="1" t="s">
        <v>10</v>
      </c>
      <c r="E11" s="1" t="s">
        <v>0</v>
      </c>
      <c r="F11" s="1" t="s">
        <v>1</v>
      </c>
      <c r="G11" s="1" t="s">
        <v>42</v>
      </c>
      <c r="H11" s="9" t="s">
        <v>97</v>
      </c>
      <c r="I11" s="3">
        <v>481481</v>
      </c>
      <c r="J11" s="3">
        <v>553900</v>
      </c>
      <c r="K11" s="3">
        <v>9263</v>
      </c>
      <c r="L11" s="3"/>
      <c r="M11" s="3">
        <v>0</v>
      </c>
      <c r="N11" s="3">
        <v>14696.08</v>
      </c>
      <c r="O11" s="3">
        <f t="shared" si="0"/>
        <v>539203.92000000004</v>
      </c>
      <c r="X11" s="14" t="s">
        <v>273</v>
      </c>
      <c r="Y11" s="5" t="s">
        <v>390</v>
      </c>
      <c r="Z11" s="1" t="s">
        <v>392</v>
      </c>
      <c r="AA11" s="1" t="s">
        <v>383</v>
      </c>
      <c r="AB11" s="1" t="s">
        <v>387</v>
      </c>
      <c r="AD11" s="1" t="s">
        <v>384</v>
      </c>
      <c r="AE11" s="1" t="s">
        <v>391</v>
      </c>
      <c r="AF11" s="14" t="s">
        <v>273</v>
      </c>
      <c r="AG11" s="16"/>
      <c r="AH11" s="14" t="s">
        <v>273</v>
      </c>
    </row>
    <row r="12" spans="1:34" s="6" customFormat="1" ht="18" customHeight="1" x14ac:dyDescent="0.35">
      <c r="A12" s="2">
        <v>7</v>
      </c>
      <c r="B12" s="1" t="s">
        <v>6</v>
      </c>
      <c r="C12" s="32" t="s">
        <v>112</v>
      </c>
      <c r="D12" s="1" t="s">
        <v>3</v>
      </c>
      <c r="E12" s="1" t="s">
        <v>0</v>
      </c>
      <c r="F12" s="1" t="s">
        <v>1</v>
      </c>
      <c r="G12" s="1" t="s">
        <v>5</v>
      </c>
      <c r="H12" s="9" t="s">
        <v>89</v>
      </c>
      <c r="I12" s="3">
        <v>1527273</v>
      </c>
      <c r="J12" s="3">
        <v>1419900</v>
      </c>
      <c r="K12" s="3">
        <v>29733</v>
      </c>
      <c r="L12" s="3"/>
      <c r="M12" s="3">
        <f>862500+49521.37+60489.15+65886.48+196925.47+0</f>
        <v>1235322.47</v>
      </c>
      <c r="N12" s="3"/>
      <c r="O12" s="22">
        <f t="shared" si="0"/>
        <v>184577.53000000003</v>
      </c>
      <c r="X12" s="14" t="s">
        <v>273</v>
      </c>
      <c r="Y12" t="s">
        <v>393</v>
      </c>
      <c r="Z12" t="s">
        <v>383</v>
      </c>
      <c r="AB12" t="s">
        <v>387</v>
      </c>
      <c r="AD12" t="s">
        <v>384</v>
      </c>
      <c r="AF12" s="14" t="s">
        <v>273</v>
      </c>
      <c r="AG12" s="16" t="s">
        <v>361</v>
      </c>
      <c r="AH12" s="14" t="s">
        <v>273</v>
      </c>
    </row>
    <row r="13" spans="1:34" s="6" customFormat="1" ht="18" customHeight="1" x14ac:dyDescent="0.35">
      <c r="A13" s="2"/>
      <c r="B13" s="1"/>
      <c r="C13" s="1"/>
      <c r="D13" s="1"/>
      <c r="E13" s="1"/>
      <c r="F13" s="1"/>
      <c r="G13" s="1"/>
      <c r="H13" s="9"/>
      <c r="I13" s="3"/>
      <c r="J13" s="3"/>
      <c r="K13" s="3"/>
      <c r="L13" s="3"/>
      <c r="M13" s="3"/>
      <c r="N13" s="3"/>
      <c r="O13" s="3">
        <f>SUM(O5:O12)</f>
        <v>4785326.45</v>
      </c>
      <c r="X13" s="14" t="s">
        <v>273</v>
      </c>
      <c r="AF13" s="14" t="s">
        <v>273</v>
      </c>
      <c r="AG13" s="16"/>
      <c r="AH13" s="14" t="s">
        <v>273</v>
      </c>
    </row>
    <row r="14" spans="1:34" ht="18" customHeight="1" x14ac:dyDescent="0.4">
      <c r="A14" s="31" t="s">
        <v>331</v>
      </c>
      <c r="B14" s="10" t="s">
        <v>276</v>
      </c>
      <c r="I14" s="3"/>
      <c r="J14" s="3"/>
      <c r="K14" s="3"/>
      <c r="L14" s="3"/>
      <c r="M14" s="3"/>
      <c r="N14" s="3"/>
      <c r="O14" s="3"/>
      <c r="X14" s="14" t="s">
        <v>273</v>
      </c>
      <c r="AF14" s="14" t="s">
        <v>273</v>
      </c>
      <c r="AG14" s="10"/>
      <c r="AH14" s="14" t="s">
        <v>273</v>
      </c>
    </row>
    <row r="15" spans="1:34" s="1" customFormat="1" ht="18" customHeight="1" x14ac:dyDescent="0.35">
      <c r="A15" s="2">
        <v>1</v>
      </c>
      <c r="B15" s="4" t="s">
        <v>6</v>
      </c>
      <c r="C15" s="1" t="s">
        <v>78</v>
      </c>
      <c r="D15" s="1" t="s">
        <v>77</v>
      </c>
      <c r="E15" s="1" t="s">
        <v>0</v>
      </c>
      <c r="F15" s="1" t="s">
        <v>1</v>
      </c>
      <c r="G15" s="5" t="s">
        <v>76</v>
      </c>
      <c r="H15" s="9" t="s">
        <v>90</v>
      </c>
      <c r="I15" s="3">
        <v>231610</v>
      </c>
      <c r="J15" s="3">
        <v>615500</v>
      </c>
      <c r="K15" s="3">
        <v>4228</v>
      </c>
      <c r="L15" s="3"/>
      <c r="M15" s="3">
        <v>454255</v>
      </c>
      <c r="N15" s="3">
        <v>0</v>
      </c>
      <c r="O15" s="3">
        <f t="shared" ref="O15:O21" si="1">+J15-L15-M15-N15</f>
        <v>161245</v>
      </c>
      <c r="X15" s="14" t="s">
        <v>273</v>
      </c>
      <c r="Y15" s="5" t="s">
        <v>430</v>
      </c>
      <c r="Z15" s="1" t="s">
        <v>392</v>
      </c>
      <c r="AB15" s="1" t="s">
        <v>383</v>
      </c>
      <c r="AD15" s="1" t="s">
        <v>417</v>
      </c>
      <c r="AF15" s="14" t="s">
        <v>273</v>
      </c>
      <c r="AG15" s="16"/>
      <c r="AH15" s="14" t="s">
        <v>273</v>
      </c>
    </row>
    <row r="16" spans="1:34" s="1" customFormat="1" ht="18" customHeight="1" x14ac:dyDescent="0.35">
      <c r="A16" s="2">
        <v>2</v>
      </c>
      <c r="B16" s="4" t="s">
        <v>6</v>
      </c>
      <c r="C16" s="1" t="s">
        <v>63</v>
      </c>
      <c r="D16" s="1" t="s">
        <v>62</v>
      </c>
      <c r="E16" s="1" t="s">
        <v>0</v>
      </c>
      <c r="F16" s="1" t="s">
        <v>1</v>
      </c>
      <c r="G16" s="1" t="s">
        <v>61</v>
      </c>
      <c r="H16" s="11" t="s">
        <v>121</v>
      </c>
      <c r="I16" s="3">
        <v>724600</v>
      </c>
      <c r="J16" s="3">
        <v>720000</v>
      </c>
      <c r="K16" s="3"/>
      <c r="L16" s="3"/>
      <c r="M16" s="3">
        <v>0</v>
      </c>
      <c r="N16" s="3"/>
      <c r="O16" s="3">
        <f t="shared" si="1"/>
        <v>720000</v>
      </c>
      <c r="X16" s="14" t="s">
        <v>273</v>
      </c>
      <c r="AF16" s="14" t="s">
        <v>273</v>
      </c>
      <c r="AG16" s="16"/>
      <c r="AH16" s="14" t="s">
        <v>273</v>
      </c>
    </row>
    <row r="17" spans="1:34" s="1" customFormat="1" ht="18" customHeight="1" x14ac:dyDescent="0.35">
      <c r="A17" s="2">
        <v>3</v>
      </c>
      <c r="B17" s="4" t="s">
        <v>6</v>
      </c>
      <c r="C17" s="1" t="s">
        <v>58</v>
      </c>
      <c r="D17" s="1" t="s">
        <v>57</v>
      </c>
      <c r="E17" s="1" t="s">
        <v>0</v>
      </c>
      <c r="F17" s="1" t="s">
        <v>1</v>
      </c>
      <c r="G17" s="1" t="s">
        <v>56</v>
      </c>
      <c r="H17" s="9" t="s">
        <v>94</v>
      </c>
      <c r="I17" s="3">
        <v>478788</v>
      </c>
      <c r="J17" s="3">
        <v>470600</v>
      </c>
      <c r="K17" s="3">
        <v>9991</v>
      </c>
      <c r="L17" s="3"/>
      <c r="M17" s="3">
        <v>355500</v>
      </c>
      <c r="N17" s="3">
        <v>0</v>
      </c>
      <c r="O17" s="3">
        <f t="shared" si="1"/>
        <v>115100</v>
      </c>
      <c r="X17" s="14" t="s">
        <v>273</v>
      </c>
      <c r="Y17" s="1" t="s">
        <v>424</v>
      </c>
      <c r="Z17" s="1" t="s">
        <v>383</v>
      </c>
      <c r="AB17" s="1" t="s">
        <v>383</v>
      </c>
      <c r="AD17" s="1" t="s">
        <v>415</v>
      </c>
      <c r="AF17" s="14" t="s">
        <v>273</v>
      </c>
      <c r="AG17" s="16"/>
      <c r="AH17" s="14" t="s">
        <v>273</v>
      </c>
    </row>
    <row r="18" spans="1:34" s="1" customFormat="1" ht="18" customHeight="1" x14ac:dyDescent="0.35">
      <c r="A18" s="2">
        <v>4</v>
      </c>
      <c r="B18" s="4" t="s">
        <v>6</v>
      </c>
      <c r="C18" s="1" t="s">
        <v>55</v>
      </c>
      <c r="D18" s="1" t="s">
        <v>2</v>
      </c>
      <c r="E18" s="1" t="s">
        <v>0</v>
      </c>
      <c r="F18" s="1" t="s">
        <v>1</v>
      </c>
      <c r="G18" s="5" t="s">
        <v>54</v>
      </c>
      <c r="H18" s="9" t="s">
        <v>95</v>
      </c>
      <c r="I18" s="3">
        <v>407407</v>
      </c>
      <c r="J18" s="3">
        <v>440600</v>
      </c>
      <c r="K18" s="3">
        <v>8615</v>
      </c>
      <c r="L18" s="3"/>
      <c r="M18" s="3">
        <f>299000+1670+4470</f>
        <v>305140</v>
      </c>
      <c r="N18" s="3">
        <v>0</v>
      </c>
      <c r="O18" s="3">
        <f t="shared" si="1"/>
        <v>135460</v>
      </c>
      <c r="P18" s="6"/>
      <c r="X18" s="14" t="s">
        <v>273</v>
      </c>
      <c r="Y18" s="1" t="s">
        <v>423</v>
      </c>
      <c r="Z18" s="1" t="s">
        <v>383</v>
      </c>
      <c r="AB18" s="1" t="s">
        <v>383</v>
      </c>
      <c r="AD18" s="1" t="s">
        <v>415</v>
      </c>
      <c r="AF18" s="14" t="s">
        <v>273</v>
      </c>
      <c r="AG18" s="16"/>
      <c r="AH18" s="14" t="s">
        <v>273</v>
      </c>
    </row>
    <row r="19" spans="1:34" s="1" customFormat="1" ht="18" customHeight="1" x14ac:dyDescent="0.35">
      <c r="A19" s="2">
        <v>5</v>
      </c>
      <c r="B19" s="4" t="s">
        <v>6</v>
      </c>
      <c r="C19" s="32" t="s">
        <v>53</v>
      </c>
      <c r="D19" s="1" t="s">
        <v>52</v>
      </c>
      <c r="E19" s="1" t="s">
        <v>0</v>
      </c>
      <c r="F19" s="1" t="s">
        <v>1</v>
      </c>
      <c r="G19" s="1" t="s">
        <v>51</v>
      </c>
      <c r="H19" s="11" t="s">
        <v>124</v>
      </c>
      <c r="I19" s="3">
        <v>446428</v>
      </c>
      <c r="J19" s="3">
        <v>566700</v>
      </c>
      <c r="K19" s="3">
        <v>9552</v>
      </c>
      <c r="L19" s="3"/>
      <c r="M19" s="3">
        <f>321755+630+255+25338.58</f>
        <v>347978.58</v>
      </c>
      <c r="N19" s="3"/>
      <c r="O19" s="3">
        <f t="shared" si="1"/>
        <v>218721.41999999998</v>
      </c>
      <c r="X19" s="14" t="s">
        <v>273</v>
      </c>
      <c r="Y19" s="4" t="s">
        <v>421</v>
      </c>
      <c r="Z19" s="1" t="s">
        <v>422</v>
      </c>
      <c r="AF19" s="14" t="s">
        <v>273</v>
      </c>
      <c r="AG19" s="16"/>
      <c r="AH19" s="14" t="s">
        <v>273</v>
      </c>
    </row>
    <row r="20" spans="1:34" s="6" customFormat="1" ht="18" customHeight="1" x14ac:dyDescent="0.35">
      <c r="A20" s="2">
        <v>6</v>
      </c>
      <c r="B20" s="4" t="s">
        <v>6</v>
      </c>
      <c r="C20" s="1" t="s">
        <v>32</v>
      </c>
      <c r="D20" s="1" t="s">
        <v>31</v>
      </c>
      <c r="E20" s="1" t="s">
        <v>0</v>
      </c>
      <c r="F20" s="1" t="s">
        <v>1</v>
      </c>
      <c r="G20" s="1" t="s">
        <v>30</v>
      </c>
      <c r="H20" s="9" t="s">
        <v>100</v>
      </c>
      <c r="I20" s="3">
        <v>377273</v>
      </c>
      <c r="J20" s="3">
        <v>527300</v>
      </c>
      <c r="K20" s="3">
        <v>7596</v>
      </c>
      <c r="L20" s="3"/>
      <c r="M20" s="3">
        <v>344000</v>
      </c>
      <c r="N20" s="3">
        <v>0</v>
      </c>
      <c r="O20" s="3">
        <f t="shared" si="1"/>
        <v>183300</v>
      </c>
      <c r="P20" s="1"/>
      <c r="X20" s="14" t="s">
        <v>273</v>
      </c>
      <c r="Y20" s="5" t="s">
        <v>388</v>
      </c>
      <c r="Z20" s="6" t="s">
        <v>377</v>
      </c>
      <c r="AB20" t="s">
        <v>387</v>
      </c>
      <c r="AD20" s="20" t="s">
        <v>389</v>
      </c>
      <c r="AF20" s="14" t="s">
        <v>273</v>
      </c>
      <c r="AG20" s="16"/>
      <c r="AH20" s="14" t="s">
        <v>273</v>
      </c>
    </row>
    <row r="21" spans="1:34" s="1" customFormat="1" ht="18" customHeight="1" x14ac:dyDescent="0.35">
      <c r="A21" s="2">
        <v>7</v>
      </c>
      <c r="B21" s="1" t="s">
        <v>6</v>
      </c>
      <c r="C21" s="32" t="s">
        <v>108</v>
      </c>
      <c r="D21" s="1" t="s">
        <v>8</v>
      </c>
      <c r="E21" s="1" t="s">
        <v>0</v>
      </c>
      <c r="F21" s="1" t="s">
        <v>7</v>
      </c>
      <c r="G21" s="1" t="s">
        <v>107</v>
      </c>
      <c r="H21" s="9" t="s">
        <v>106</v>
      </c>
      <c r="I21" s="3">
        <v>390000</v>
      </c>
      <c r="J21" s="3">
        <v>589700</v>
      </c>
      <c r="K21" s="3">
        <v>8552</v>
      </c>
      <c r="L21" s="3"/>
      <c r="M21" s="3">
        <f>308800+77200+0</f>
        <v>386000</v>
      </c>
      <c r="N21" s="3"/>
      <c r="O21" s="22">
        <f t="shared" si="1"/>
        <v>203700</v>
      </c>
      <c r="P21" s="6"/>
      <c r="X21" s="14" t="s">
        <v>273</v>
      </c>
      <c r="Y21" s="1" t="s">
        <v>396</v>
      </c>
      <c r="Z21" s="1" t="s">
        <v>377</v>
      </c>
      <c r="AB21" s="1" t="s">
        <v>379</v>
      </c>
      <c r="AD21" s="5" t="s">
        <v>389</v>
      </c>
      <c r="AE21" s="1" t="s">
        <v>397</v>
      </c>
      <c r="AF21" s="14" t="s">
        <v>273</v>
      </c>
      <c r="AG21" s="16"/>
      <c r="AH21" s="14" t="s">
        <v>273</v>
      </c>
    </row>
    <row r="22" spans="1:34" s="1" customFormat="1" ht="18" customHeight="1" x14ac:dyDescent="0.35">
      <c r="A22" s="2"/>
      <c r="H22" s="9"/>
      <c r="I22" s="3"/>
      <c r="J22" s="3"/>
      <c r="K22" s="3"/>
      <c r="L22" s="3"/>
      <c r="M22" s="3"/>
      <c r="N22" s="3"/>
      <c r="O22" s="3">
        <f>SUM(O15:O21)</f>
        <v>1737526.42</v>
      </c>
      <c r="P22" s="6"/>
      <c r="X22" s="14" t="s">
        <v>273</v>
      </c>
      <c r="AF22" s="14" t="s">
        <v>273</v>
      </c>
      <c r="AG22" s="16"/>
      <c r="AH22" s="14" t="s">
        <v>273</v>
      </c>
    </row>
    <row r="23" spans="1:34" s="1" customFormat="1" ht="18" customHeight="1" x14ac:dyDescent="0.4">
      <c r="A23" s="31" t="s">
        <v>332</v>
      </c>
      <c r="B23" s="10" t="s">
        <v>277</v>
      </c>
      <c r="H23" s="9"/>
      <c r="I23" s="3"/>
      <c r="J23" s="3"/>
      <c r="K23" s="3"/>
      <c r="L23" s="3"/>
      <c r="M23" s="3"/>
      <c r="N23" s="3"/>
      <c r="O23" s="3"/>
      <c r="P23" s="6"/>
      <c r="X23" s="14" t="s">
        <v>273</v>
      </c>
      <c r="AF23" s="14" t="s">
        <v>273</v>
      </c>
      <c r="AG23" s="16"/>
      <c r="AH23" s="14" t="s">
        <v>273</v>
      </c>
    </row>
    <row r="24" spans="1:34" s="1" customFormat="1" ht="18" customHeight="1" x14ac:dyDescent="0.35">
      <c r="A24" s="2">
        <v>1</v>
      </c>
      <c r="B24" s="4" t="s">
        <v>67</v>
      </c>
      <c r="C24" s="1" t="s">
        <v>66</v>
      </c>
      <c r="D24" s="1" t="s">
        <v>65</v>
      </c>
      <c r="E24" s="1" t="s">
        <v>0</v>
      </c>
      <c r="F24" s="1" t="s">
        <v>7</v>
      </c>
      <c r="G24" s="1" t="s">
        <v>64</v>
      </c>
      <c r="H24" s="9" t="s">
        <v>93</v>
      </c>
      <c r="I24" s="3"/>
      <c r="J24" s="3">
        <v>375000</v>
      </c>
      <c r="K24" s="3"/>
      <c r="L24" s="3"/>
      <c r="M24" s="3">
        <v>0</v>
      </c>
      <c r="N24" s="3"/>
      <c r="O24" s="22">
        <f>+J24-L24-M24-N24</f>
        <v>375000</v>
      </c>
      <c r="X24" s="14" t="s">
        <v>273</v>
      </c>
      <c r="Y24" s="1" t="s">
        <v>429</v>
      </c>
      <c r="Z24" s="1" t="s">
        <v>392</v>
      </c>
      <c r="AB24" s="1" t="s">
        <v>392</v>
      </c>
      <c r="AF24" s="14" t="s">
        <v>273</v>
      </c>
      <c r="AG24" s="16"/>
      <c r="AH24" s="14" t="s">
        <v>273</v>
      </c>
    </row>
    <row r="25" spans="1:34" s="1" customFormat="1" ht="18" customHeight="1" x14ac:dyDescent="0.35">
      <c r="A25" s="2"/>
      <c r="B25" s="4"/>
      <c r="H25" s="9"/>
      <c r="I25" s="3"/>
      <c r="J25" s="3"/>
      <c r="K25" s="3"/>
      <c r="L25" s="3"/>
      <c r="M25" s="3"/>
      <c r="N25" s="3"/>
      <c r="O25" s="3">
        <f>SUM(O24)</f>
        <v>375000</v>
      </c>
      <c r="X25" s="14" t="s">
        <v>273</v>
      </c>
      <c r="AF25" s="14" t="s">
        <v>273</v>
      </c>
      <c r="AG25" s="16"/>
      <c r="AH25" s="14" t="s">
        <v>273</v>
      </c>
    </row>
    <row r="26" spans="1:34" s="1" customFormat="1" ht="18" customHeight="1" x14ac:dyDescent="0.4">
      <c r="A26" s="31" t="s">
        <v>333</v>
      </c>
      <c r="B26" s="10" t="s">
        <v>279</v>
      </c>
      <c r="H26" s="11"/>
      <c r="I26" s="3"/>
      <c r="J26" s="3"/>
      <c r="K26" s="3"/>
      <c r="L26" s="3"/>
      <c r="M26" s="3"/>
      <c r="N26" s="3"/>
      <c r="O26" s="3"/>
      <c r="P26" s="6"/>
      <c r="X26" s="14" t="s">
        <v>273</v>
      </c>
      <c r="AF26" s="14" t="s">
        <v>273</v>
      </c>
      <c r="AG26" s="16"/>
      <c r="AH26" s="14" t="s">
        <v>273</v>
      </c>
    </row>
    <row r="27" spans="1:34" s="6" customFormat="1" ht="18" customHeight="1" x14ac:dyDescent="0.35">
      <c r="A27" s="2">
        <v>1</v>
      </c>
      <c r="B27" s="4" t="s">
        <v>6</v>
      </c>
      <c r="C27" s="1" t="s">
        <v>25</v>
      </c>
      <c r="D27" s="1" t="s">
        <v>24</v>
      </c>
      <c r="E27" s="1" t="s">
        <v>0</v>
      </c>
      <c r="F27" s="1" t="s">
        <v>24</v>
      </c>
      <c r="G27" s="1" t="s">
        <v>23</v>
      </c>
      <c r="H27" s="9" t="s">
        <v>102</v>
      </c>
      <c r="I27" s="3">
        <v>590000</v>
      </c>
      <c r="J27" s="3">
        <v>610700</v>
      </c>
      <c r="K27" s="3"/>
      <c r="L27" s="3"/>
      <c r="M27" s="3">
        <v>400000</v>
      </c>
      <c r="N27" s="3">
        <v>0</v>
      </c>
      <c r="O27" s="22">
        <f>+J27-L27-M27-N27</f>
        <v>210700</v>
      </c>
      <c r="X27" s="14" t="s">
        <v>273</v>
      </c>
      <c r="Y27" s="5" t="s">
        <v>412</v>
      </c>
      <c r="Z27" s="1" t="s">
        <v>413</v>
      </c>
      <c r="AA27" s="1" t="s">
        <v>383</v>
      </c>
      <c r="AB27" s="1" t="s">
        <v>405</v>
      </c>
      <c r="AF27" s="14" t="s">
        <v>273</v>
      </c>
      <c r="AG27" s="16"/>
      <c r="AH27" s="14" t="s">
        <v>273</v>
      </c>
    </row>
    <row r="28" spans="1:34" s="6" customFormat="1" ht="18" customHeight="1" x14ac:dyDescent="0.3">
      <c r="A28" s="2"/>
      <c r="B28" s="4"/>
      <c r="C28" s="1"/>
      <c r="D28" s="1"/>
      <c r="E28" s="1"/>
      <c r="F28" s="1"/>
      <c r="G28" s="1"/>
      <c r="H28" s="9"/>
      <c r="I28" s="3"/>
      <c r="J28" s="3"/>
      <c r="K28" s="3"/>
      <c r="L28" s="3"/>
      <c r="M28" s="3"/>
      <c r="N28" s="3"/>
      <c r="O28" s="3">
        <f>SUM(O27)</f>
        <v>210700</v>
      </c>
      <c r="X28" s="14" t="s">
        <v>273</v>
      </c>
      <c r="AF28" s="14" t="s">
        <v>273</v>
      </c>
      <c r="AG28" s="36"/>
      <c r="AH28" s="14" t="s">
        <v>273</v>
      </c>
    </row>
    <row r="29" spans="1:34" s="1" customFormat="1" ht="18" customHeight="1" x14ac:dyDescent="0.4">
      <c r="A29" s="31" t="s">
        <v>334</v>
      </c>
      <c r="B29" s="10" t="s">
        <v>278</v>
      </c>
      <c r="C29" s="19" t="s">
        <v>362</v>
      </c>
      <c r="H29" s="9"/>
      <c r="I29" s="3"/>
      <c r="J29" s="3"/>
      <c r="K29" s="3"/>
      <c r="L29" s="3"/>
      <c r="M29" s="3"/>
      <c r="N29" s="3"/>
      <c r="O29" s="3"/>
      <c r="P29" s="6"/>
      <c r="X29" s="14" t="s">
        <v>273</v>
      </c>
      <c r="AF29" s="14" t="s">
        <v>273</v>
      </c>
      <c r="AG29" s="37"/>
      <c r="AH29" s="14" t="s">
        <v>273</v>
      </c>
    </row>
    <row r="30" spans="1:34" s="1" customFormat="1" ht="18" customHeight="1" x14ac:dyDescent="0.3">
      <c r="A30" s="2">
        <v>1</v>
      </c>
      <c r="B30" s="4" t="s">
        <v>6</v>
      </c>
      <c r="C30" s="32" t="s">
        <v>109</v>
      </c>
      <c r="D30" s="1" t="s">
        <v>110</v>
      </c>
      <c r="E30" s="1" t="s">
        <v>0</v>
      </c>
      <c r="F30" s="1" t="s">
        <v>1</v>
      </c>
      <c r="G30" s="1" t="s">
        <v>111</v>
      </c>
      <c r="H30" s="11" t="s">
        <v>122</v>
      </c>
      <c r="I30" s="3"/>
      <c r="J30" s="3">
        <v>835700</v>
      </c>
      <c r="K30" s="3"/>
      <c r="L30" s="3"/>
      <c r="M30" s="3">
        <v>369000</v>
      </c>
      <c r="N30" s="3"/>
      <c r="O30" s="3">
        <f t="shared" ref="O30:O36" si="2">+J30-L30-M30-N30</f>
        <v>466700</v>
      </c>
      <c r="X30" s="14" t="s">
        <v>273</v>
      </c>
      <c r="Y30" s="1" t="s">
        <v>419</v>
      </c>
      <c r="Z30" s="1" t="s">
        <v>392</v>
      </c>
      <c r="AA30" s="1" t="s">
        <v>383</v>
      </c>
      <c r="AB30" s="1" t="s">
        <v>392</v>
      </c>
      <c r="AC30" s="1" t="s">
        <v>383</v>
      </c>
      <c r="AF30" s="14" t="s">
        <v>273</v>
      </c>
      <c r="AG30" s="38" t="s">
        <v>354</v>
      </c>
      <c r="AH30" s="14" t="s">
        <v>273</v>
      </c>
    </row>
    <row r="31" spans="1:34" s="1" customFormat="1" ht="18" customHeight="1" x14ac:dyDescent="0.3">
      <c r="A31" s="2">
        <v>2</v>
      </c>
      <c r="B31" s="4" t="s">
        <v>6</v>
      </c>
      <c r="C31" s="1" t="s">
        <v>60</v>
      </c>
      <c r="D31" s="1" t="s">
        <v>10</v>
      </c>
      <c r="E31" s="1" t="s">
        <v>0</v>
      </c>
      <c r="F31" s="1" t="s">
        <v>1</v>
      </c>
      <c r="G31" s="1" t="s">
        <v>59</v>
      </c>
      <c r="H31" s="11" t="s">
        <v>123</v>
      </c>
      <c r="I31" s="3">
        <v>388889</v>
      </c>
      <c r="J31" s="3">
        <v>544000</v>
      </c>
      <c r="K31" s="3">
        <v>7481</v>
      </c>
      <c r="L31" s="3">
        <v>59848</v>
      </c>
      <c r="M31" s="3">
        <v>247000</v>
      </c>
      <c r="N31" s="3">
        <v>0</v>
      </c>
      <c r="O31" s="3">
        <f t="shared" si="2"/>
        <v>237152</v>
      </c>
      <c r="X31" s="14" t="s">
        <v>273</v>
      </c>
      <c r="Y31" s="1" t="s">
        <v>416</v>
      </c>
      <c r="Z31" s="1" t="s">
        <v>392</v>
      </c>
      <c r="AA31" s="1" t="s">
        <v>383</v>
      </c>
      <c r="AB31" s="1" t="s">
        <v>383</v>
      </c>
      <c r="AC31" s="1" t="s">
        <v>383</v>
      </c>
      <c r="AD31" s="1" t="s">
        <v>417</v>
      </c>
      <c r="AF31" s="14" t="s">
        <v>273</v>
      </c>
      <c r="AG31" s="38" t="s">
        <v>352</v>
      </c>
      <c r="AH31" s="14" t="s">
        <v>273</v>
      </c>
    </row>
    <row r="32" spans="1:34" s="1" customFormat="1" ht="18" customHeight="1" x14ac:dyDescent="0.3">
      <c r="A32" s="2">
        <v>3</v>
      </c>
      <c r="B32" s="4" t="s">
        <v>6</v>
      </c>
      <c r="C32" s="32" t="s">
        <v>116</v>
      </c>
      <c r="D32" s="1" t="s">
        <v>48</v>
      </c>
      <c r="E32" s="1" t="s">
        <v>0</v>
      </c>
      <c r="F32" s="1" t="s">
        <v>1</v>
      </c>
      <c r="G32" s="1" t="s">
        <v>47</v>
      </c>
      <c r="H32" s="11" t="s">
        <v>126</v>
      </c>
      <c r="I32" s="3">
        <v>533333</v>
      </c>
      <c r="J32" s="3">
        <v>510300</v>
      </c>
      <c r="K32" s="3">
        <v>11051</v>
      </c>
      <c r="L32" s="3"/>
      <c r="M32" s="3">
        <f>347650+86900</f>
        <v>434550</v>
      </c>
      <c r="N32" s="3">
        <v>0</v>
      </c>
      <c r="O32" s="3">
        <f t="shared" si="2"/>
        <v>75750</v>
      </c>
      <c r="X32" s="14" t="s">
        <v>273</v>
      </c>
      <c r="Y32" s="4" t="s">
        <v>420</v>
      </c>
      <c r="Z32" s="1" t="s">
        <v>383</v>
      </c>
      <c r="AA32" s="1" t="s">
        <v>383</v>
      </c>
      <c r="AB32" s="1" t="s">
        <v>383</v>
      </c>
      <c r="AC32" s="1" t="s">
        <v>383</v>
      </c>
      <c r="AD32" s="1" t="s">
        <v>415</v>
      </c>
      <c r="AF32" s="14" t="s">
        <v>273</v>
      </c>
      <c r="AG32" s="38" t="s">
        <v>351</v>
      </c>
      <c r="AH32" s="14" t="s">
        <v>273</v>
      </c>
    </row>
    <row r="33" spans="1:34" s="1" customFormat="1" ht="18" customHeight="1" x14ac:dyDescent="0.3">
      <c r="A33" s="2">
        <v>4</v>
      </c>
      <c r="B33" s="4" t="s">
        <v>6</v>
      </c>
      <c r="C33" s="1" t="s">
        <v>46</v>
      </c>
      <c r="D33" s="1" t="s">
        <v>45</v>
      </c>
      <c r="E33" s="1" t="s">
        <v>0</v>
      </c>
      <c r="F33" s="1" t="s">
        <v>7</v>
      </c>
      <c r="G33" s="1" t="s">
        <v>44</v>
      </c>
      <c r="H33" s="9" t="s">
        <v>96</v>
      </c>
      <c r="I33" s="3">
        <v>360000</v>
      </c>
      <c r="J33" s="3">
        <v>382800</v>
      </c>
      <c r="K33" s="3"/>
      <c r="L33" s="3"/>
      <c r="M33" s="3">
        <f>233000+16099+19845.44+3750+9670.54+6005</f>
        <v>288369.98</v>
      </c>
      <c r="N33" s="3"/>
      <c r="O33" s="3">
        <f t="shared" si="2"/>
        <v>94430.020000000019</v>
      </c>
      <c r="P33" s="6"/>
      <c r="X33" s="14" t="s">
        <v>273</v>
      </c>
      <c r="Y33" s="1" t="s">
        <v>404</v>
      </c>
      <c r="Z33" s="1" t="s">
        <v>399</v>
      </c>
      <c r="AB33" s="1" t="s">
        <v>405</v>
      </c>
      <c r="AD33" s="1" t="s">
        <v>395</v>
      </c>
      <c r="AF33" s="14" t="s">
        <v>273</v>
      </c>
      <c r="AG33" s="38" t="s">
        <v>134</v>
      </c>
      <c r="AH33" s="14" t="s">
        <v>273</v>
      </c>
    </row>
    <row r="34" spans="1:34" s="6" customFormat="1" ht="18" customHeight="1" x14ac:dyDescent="0.3">
      <c r="A34" s="2">
        <v>5</v>
      </c>
      <c r="B34" s="4" t="s">
        <v>29</v>
      </c>
      <c r="C34" s="1" t="s">
        <v>28</v>
      </c>
      <c r="D34" s="1" t="s">
        <v>27</v>
      </c>
      <c r="E34" s="1" t="s">
        <v>0</v>
      </c>
      <c r="F34" s="1" t="s">
        <v>1</v>
      </c>
      <c r="G34" s="1" t="s">
        <v>26</v>
      </c>
      <c r="H34" s="11" t="s">
        <v>101</v>
      </c>
      <c r="I34" s="3">
        <v>1556061</v>
      </c>
      <c r="J34" s="3">
        <v>1600000</v>
      </c>
      <c r="K34" s="3">
        <v>29321</v>
      </c>
      <c r="L34" s="3"/>
      <c r="M34" s="3">
        <v>0</v>
      </c>
      <c r="N34" s="3"/>
      <c r="O34" s="3">
        <f t="shared" si="2"/>
        <v>1600000</v>
      </c>
      <c r="P34" s="1"/>
      <c r="X34" s="14" t="s">
        <v>273</v>
      </c>
      <c r="Y34" s="5" t="s">
        <v>411</v>
      </c>
      <c r="Z34" s="5" t="s">
        <v>377</v>
      </c>
      <c r="AB34" s="6" t="s">
        <v>392</v>
      </c>
      <c r="AD34" s="6" t="s">
        <v>418</v>
      </c>
      <c r="AE34" s="6" t="s">
        <v>406</v>
      </c>
      <c r="AF34" s="14" t="s">
        <v>273</v>
      </c>
      <c r="AG34" s="38" t="s">
        <v>135</v>
      </c>
      <c r="AH34" s="14" t="s">
        <v>273</v>
      </c>
    </row>
    <row r="35" spans="1:34" s="6" customFormat="1" ht="18" customHeight="1" x14ac:dyDescent="0.3">
      <c r="A35" s="2">
        <v>6</v>
      </c>
      <c r="B35" s="4" t="s">
        <v>6</v>
      </c>
      <c r="C35" s="32" t="s">
        <v>22</v>
      </c>
      <c r="D35" s="1" t="s">
        <v>21</v>
      </c>
      <c r="E35" s="1" t="s">
        <v>0</v>
      </c>
      <c r="F35" s="1" t="s">
        <v>1</v>
      </c>
      <c r="G35" s="1" t="s">
        <v>20</v>
      </c>
      <c r="H35" s="11" t="s">
        <v>127</v>
      </c>
      <c r="I35" s="3">
        <v>703704</v>
      </c>
      <c r="J35" s="3">
        <v>554000</v>
      </c>
      <c r="K35" s="3">
        <v>14520</v>
      </c>
      <c r="L35" s="3"/>
      <c r="M35" s="3">
        <v>304000</v>
      </c>
      <c r="N35" s="3">
        <v>0</v>
      </c>
      <c r="O35" s="3">
        <f t="shared" si="2"/>
        <v>250000</v>
      </c>
      <c r="P35" s="1"/>
      <c r="X35" s="14" t="s">
        <v>273</v>
      </c>
      <c r="Y35" s="1" t="s">
        <v>401</v>
      </c>
      <c r="Z35" s="1" t="s">
        <v>383</v>
      </c>
      <c r="AA35" s="1" t="s">
        <v>383</v>
      </c>
      <c r="AB35" s="1" t="s">
        <v>387</v>
      </c>
      <c r="AC35" s="6" t="s">
        <v>383</v>
      </c>
      <c r="AE35" s="1" t="s">
        <v>402</v>
      </c>
      <c r="AF35" s="14" t="s">
        <v>273</v>
      </c>
      <c r="AG35" s="38" t="s">
        <v>353</v>
      </c>
      <c r="AH35" s="14" t="s">
        <v>273</v>
      </c>
    </row>
    <row r="36" spans="1:34" s="1" customFormat="1" ht="18" customHeight="1" x14ac:dyDescent="0.3">
      <c r="A36" s="2">
        <v>7</v>
      </c>
      <c r="B36" s="4" t="s">
        <v>6</v>
      </c>
      <c r="C36" s="1" t="s">
        <v>70</v>
      </c>
      <c r="D36" s="1" t="s">
        <v>69</v>
      </c>
      <c r="E36" s="1" t="s">
        <v>0</v>
      </c>
      <c r="F36" s="1" t="s">
        <v>1</v>
      </c>
      <c r="G36" s="1" t="s">
        <v>68</v>
      </c>
      <c r="H36" s="11" t="s">
        <v>120</v>
      </c>
      <c r="I36" s="3">
        <v>600000</v>
      </c>
      <c r="J36" s="3">
        <v>804600</v>
      </c>
      <c r="K36" s="3"/>
      <c r="L36" s="3"/>
      <c r="M36" s="3">
        <v>484000</v>
      </c>
      <c r="N36" s="3">
        <v>0</v>
      </c>
      <c r="O36" s="22">
        <f t="shared" si="2"/>
        <v>320600</v>
      </c>
      <c r="X36" s="14" t="s">
        <v>273</v>
      </c>
      <c r="AF36" s="14" t="s">
        <v>273</v>
      </c>
      <c r="AG36" s="38" t="s">
        <v>348</v>
      </c>
      <c r="AH36" s="14" t="s">
        <v>273</v>
      </c>
    </row>
    <row r="37" spans="1:34" s="6" customFormat="1" ht="18" customHeight="1" x14ac:dyDescent="0.3">
      <c r="A37" s="2"/>
      <c r="B37" s="4"/>
      <c r="C37" s="1"/>
      <c r="D37" s="1"/>
      <c r="E37" s="1"/>
      <c r="F37" s="1"/>
      <c r="G37" s="1"/>
      <c r="H37" s="11"/>
      <c r="I37" s="3"/>
      <c r="J37" s="3"/>
      <c r="K37" s="3"/>
      <c r="L37" s="3"/>
      <c r="M37" s="3"/>
      <c r="N37" s="3"/>
      <c r="O37" s="3">
        <f>SUM(O30:O36)</f>
        <v>3044632.02</v>
      </c>
      <c r="P37" s="1"/>
      <c r="X37" s="14" t="s">
        <v>273</v>
      </c>
      <c r="AF37" s="14" t="s">
        <v>273</v>
      </c>
      <c r="AG37" s="36"/>
      <c r="AH37" s="14" t="s">
        <v>273</v>
      </c>
    </row>
    <row r="38" spans="1:34" s="6" customFormat="1" ht="18" customHeight="1" x14ac:dyDescent="0.4">
      <c r="A38" s="31" t="s">
        <v>335</v>
      </c>
      <c r="B38" s="10" t="s">
        <v>280</v>
      </c>
      <c r="C38" s="1"/>
      <c r="D38" s="1"/>
      <c r="E38" s="1"/>
      <c r="F38" s="1"/>
      <c r="G38" s="1"/>
      <c r="H38" s="11"/>
      <c r="I38" s="3"/>
      <c r="J38" s="3"/>
      <c r="K38" s="18" t="s">
        <v>281</v>
      </c>
      <c r="L38" s="3"/>
      <c r="M38" s="3"/>
      <c r="N38" s="3"/>
      <c r="O38" s="3"/>
      <c r="P38" s="1"/>
      <c r="X38" s="14" t="s">
        <v>273</v>
      </c>
      <c r="AF38" s="14" t="s">
        <v>273</v>
      </c>
      <c r="AG38" s="36"/>
      <c r="AH38" s="14" t="s">
        <v>273</v>
      </c>
    </row>
    <row r="39" spans="1:34" s="1" customFormat="1" ht="18" customHeight="1" x14ac:dyDescent="0.3">
      <c r="A39" s="2">
        <v>1</v>
      </c>
      <c r="B39" s="4" t="s">
        <v>6</v>
      </c>
      <c r="C39" s="1" t="s">
        <v>50</v>
      </c>
      <c r="D39" s="1" t="s">
        <v>4</v>
      </c>
      <c r="E39" s="1" t="s">
        <v>0</v>
      </c>
      <c r="F39" s="1" t="s">
        <v>1</v>
      </c>
      <c r="G39" s="1" t="s">
        <v>49</v>
      </c>
      <c r="H39" s="11" t="s">
        <v>125</v>
      </c>
      <c r="I39" s="3">
        <v>572115</v>
      </c>
      <c r="J39" s="3">
        <v>651000</v>
      </c>
      <c r="K39" s="3">
        <v>11651</v>
      </c>
      <c r="L39" s="3"/>
      <c r="M39" s="3">
        <v>320000</v>
      </c>
      <c r="N39" s="3">
        <v>0</v>
      </c>
      <c r="O39" s="22">
        <f t="shared" ref="O39" si="3">+J39-L39-M39-N39</f>
        <v>331000</v>
      </c>
      <c r="X39" s="14" t="s">
        <v>273</v>
      </c>
      <c r="Y39" s="4" t="s">
        <v>425</v>
      </c>
      <c r="AB39" s="1" t="s">
        <v>426</v>
      </c>
      <c r="AD39" s="1" t="s">
        <v>415</v>
      </c>
      <c r="AF39" s="14" t="s">
        <v>273</v>
      </c>
      <c r="AG39" s="38" t="s">
        <v>356</v>
      </c>
      <c r="AH39" s="14" t="s">
        <v>273</v>
      </c>
    </row>
    <row r="40" spans="1:34" s="1" customFormat="1" ht="18" customHeight="1" x14ac:dyDescent="0.3">
      <c r="A40" s="2"/>
      <c r="H40" s="9"/>
      <c r="I40" s="3"/>
      <c r="J40" s="3"/>
      <c r="K40" s="3"/>
      <c r="L40" s="3"/>
      <c r="M40" s="3"/>
      <c r="N40" s="3"/>
      <c r="O40" s="3">
        <f>SUM(O39)</f>
        <v>331000</v>
      </c>
      <c r="P40" s="6"/>
      <c r="X40" s="14" t="s">
        <v>273</v>
      </c>
      <c r="AF40" s="14" t="s">
        <v>273</v>
      </c>
      <c r="AG40" s="36"/>
      <c r="AH40" s="14" t="s">
        <v>273</v>
      </c>
    </row>
    <row r="41" spans="1:34" ht="18" customHeight="1" x14ac:dyDescent="0.4">
      <c r="A41" s="31" t="s">
        <v>336</v>
      </c>
      <c r="B41" s="10" t="s">
        <v>139</v>
      </c>
      <c r="C41" s="17"/>
      <c r="I41" s="3"/>
      <c r="J41" s="3"/>
      <c r="K41" s="3"/>
      <c r="L41" s="3"/>
      <c r="M41" s="3"/>
      <c r="N41" s="3"/>
      <c r="O41" s="3"/>
      <c r="X41" s="14" t="s">
        <v>273</v>
      </c>
      <c r="AF41" s="14" t="s">
        <v>273</v>
      </c>
      <c r="AG41" s="36"/>
      <c r="AH41" s="14" t="s">
        <v>273</v>
      </c>
    </row>
    <row r="42" spans="1:34" ht="18" customHeight="1" x14ac:dyDescent="0.3">
      <c r="A42" s="27">
        <v>1</v>
      </c>
      <c r="B42" t="s">
        <v>289</v>
      </c>
      <c r="C42" s="17" t="s">
        <v>316</v>
      </c>
      <c r="D42" t="s">
        <v>286</v>
      </c>
      <c r="E42" s="1" t="s">
        <v>0</v>
      </c>
      <c r="F42" s="1" t="s">
        <v>1</v>
      </c>
      <c r="G42" t="s">
        <v>290</v>
      </c>
      <c r="H42" s="11" t="s">
        <v>318</v>
      </c>
      <c r="I42" s="3"/>
      <c r="J42" s="3">
        <v>1126700</v>
      </c>
      <c r="K42" s="3"/>
      <c r="L42" s="3"/>
      <c r="M42" s="3">
        <v>0</v>
      </c>
      <c r="N42" s="3"/>
      <c r="O42" s="3">
        <f t="shared" ref="O42:O44" si="4">+J42-L42-M42-N42</f>
        <v>1126700</v>
      </c>
      <c r="X42" s="14" t="s">
        <v>273</v>
      </c>
      <c r="Y42" s="20" t="s">
        <v>414</v>
      </c>
      <c r="AB42" t="s">
        <v>383</v>
      </c>
      <c r="AD42" t="s">
        <v>384</v>
      </c>
      <c r="AF42" s="14" t="s">
        <v>273</v>
      </c>
      <c r="AG42" s="36" t="s">
        <v>357</v>
      </c>
      <c r="AH42" s="14" t="s">
        <v>273</v>
      </c>
    </row>
    <row r="43" spans="1:34" ht="18" customHeight="1" x14ac:dyDescent="0.3">
      <c r="A43" s="27">
        <v>2</v>
      </c>
      <c r="B43" t="s">
        <v>292</v>
      </c>
      <c r="C43" s="17" t="s">
        <v>287</v>
      </c>
      <c r="D43" t="s">
        <v>288</v>
      </c>
      <c r="E43" s="1" t="s">
        <v>0</v>
      </c>
      <c r="F43" s="1" t="s">
        <v>1</v>
      </c>
      <c r="G43" s="20" t="s">
        <v>291</v>
      </c>
      <c r="H43" s="11" t="s">
        <v>317</v>
      </c>
      <c r="I43" s="3"/>
      <c r="J43" s="3">
        <v>2574999</v>
      </c>
      <c r="K43" s="3"/>
      <c r="L43" s="3"/>
      <c r="M43" s="3">
        <v>100000</v>
      </c>
      <c r="N43" s="3"/>
      <c r="O43" s="3">
        <f t="shared" si="4"/>
        <v>2474999</v>
      </c>
      <c r="X43" s="14" t="s">
        <v>273</v>
      </c>
      <c r="Y43" s="20" t="s">
        <v>403</v>
      </c>
      <c r="Z43" t="s">
        <v>377</v>
      </c>
      <c r="AA43" t="s">
        <v>399</v>
      </c>
      <c r="AB43" s="20" t="s">
        <v>400</v>
      </c>
      <c r="AC43" t="s">
        <v>399</v>
      </c>
      <c r="AF43" s="14" t="s">
        <v>273</v>
      </c>
      <c r="AG43" s="38" t="s">
        <v>137</v>
      </c>
      <c r="AH43" s="14" t="s">
        <v>273</v>
      </c>
    </row>
    <row r="44" spans="1:34" ht="18" customHeight="1" x14ac:dyDescent="0.3">
      <c r="A44" s="27">
        <v>3</v>
      </c>
      <c r="B44" t="s">
        <v>143</v>
      </c>
      <c r="C44" t="s">
        <v>284</v>
      </c>
      <c r="D44" t="s">
        <v>4</v>
      </c>
      <c r="E44" s="1" t="s">
        <v>0</v>
      </c>
      <c r="F44" s="1" t="s">
        <v>1</v>
      </c>
      <c r="G44" t="s">
        <v>144</v>
      </c>
      <c r="H44" s="11" t="s">
        <v>319</v>
      </c>
      <c r="I44" s="3"/>
      <c r="J44" s="3">
        <v>568200</v>
      </c>
      <c r="K44" s="3"/>
      <c r="L44" s="3"/>
      <c r="M44" s="3">
        <f>184000+34500</f>
        <v>218500</v>
      </c>
      <c r="N44" s="3"/>
      <c r="O44" s="22">
        <f t="shared" si="4"/>
        <v>349700</v>
      </c>
      <c r="X44" s="14" t="s">
        <v>273</v>
      </c>
      <c r="AF44" s="14" t="s">
        <v>273</v>
      </c>
      <c r="AG44" s="38" t="s">
        <v>138</v>
      </c>
      <c r="AH44" s="14" t="s">
        <v>273</v>
      </c>
    </row>
    <row r="45" spans="1:34" ht="18" customHeight="1" x14ac:dyDescent="0.3">
      <c r="C45" s="17"/>
      <c r="I45" s="3"/>
      <c r="J45" s="3"/>
      <c r="K45" s="3"/>
      <c r="L45" s="3"/>
      <c r="M45" s="3"/>
      <c r="N45" s="3"/>
      <c r="O45" s="3">
        <f>SUM(O42:O44)</f>
        <v>3951399</v>
      </c>
      <c r="X45" s="14" t="s">
        <v>273</v>
      </c>
      <c r="AF45" s="14" t="s">
        <v>273</v>
      </c>
      <c r="AG45" s="36"/>
      <c r="AH45" s="14" t="s">
        <v>273</v>
      </c>
    </row>
    <row r="46" spans="1:34" ht="18" customHeight="1" x14ac:dyDescent="0.4">
      <c r="A46" s="31" t="s">
        <v>337</v>
      </c>
      <c r="B46" s="10" t="s">
        <v>140</v>
      </c>
      <c r="C46" s="17"/>
      <c r="I46" s="3"/>
      <c r="J46" s="3"/>
      <c r="K46" s="3"/>
      <c r="L46" s="3"/>
      <c r="M46" s="3"/>
      <c r="N46" s="3"/>
      <c r="O46" s="3"/>
      <c r="X46" s="14" t="s">
        <v>273</v>
      </c>
      <c r="AF46" s="14" t="s">
        <v>273</v>
      </c>
      <c r="AG46" s="38" t="s">
        <v>349</v>
      </c>
      <c r="AH46" s="14" t="s">
        <v>273</v>
      </c>
    </row>
    <row r="47" spans="1:34" ht="18" customHeight="1" x14ac:dyDescent="0.3">
      <c r="A47" s="27">
        <v>1</v>
      </c>
      <c r="B47" t="s">
        <v>293</v>
      </c>
      <c r="C47" s="17" t="s">
        <v>294</v>
      </c>
      <c r="D47" t="s">
        <v>3</v>
      </c>
      <c r="E47" s="1" t="s">
        <v>0</v>
      </c>
      <c r="F47" s="1" t="s">
        <v>1</v>
      </c>
      <c r="G47" t="s">
        <v>295</v>
      </c>
      <c r="H47" s="11" t="s">
        <v>324</v>
      </c>
      <c r="I47" s="3"/>
      <c r="J47" s="3">
        <v>1277700</v>
      </c>
      <c r="K47" s="3"/>
      <c r="L47" s="3"/>
      <c r="M47" s="3">
        <v>630000</v>
      </c>
      <c r="N47" s="3"/>
      <c r="O47" s="3">
        <f t="shared" ref="O47:O49" si="5">+J47-L47-M47-N47</f>
        <v>647700</v>
      </c>
      <c r="R47" s="1"/>
      <c r="X47" s="14" t="s">
        <v>273</v>
      </c>
      <c r="AF47" s="14" t="s">
        <v>273</v>
      </c>
      <c r="AG47" s="36" t="s">
        <v>355</v>
      </c>
      <c r="AH47" s="14" t="s">
        <v>273</v>
      </c>
    </row>
    <row r="48" spans="1:34" ht="18" customHeight="1" x14ac:dyDescent="0.3">
      <c r="A48" s="27">
        <v>2</v>
      </c>
      <c r="B48" t="s">
        <v>297</v>
      </c>
      <c r="C48" s="17" t="s">
        <v>298</v>
      </c>
      <c r="D48" t="s">
        <v>299</v>
      </c>
      <c r="E48" s="1" t="s">
        <v>0</v>
      </c>
      <c r="F48" s="1" t="s">
        <v>1</v>
      </c>
      <c r="G48" t="s">
        <v>300</v>
      </c>
      <c r="H48" s="11" t="s">
        <v>326</v>
      </c>
      <c r="I48" s="3"/>
      <c r="J48" s="3">
        <v>668300</v>
      </c>
      <c r="K48" s="3"/>
      <c r="L48" s="3"/>
      <c r="M48" s="3">
        <f>372000</f>
        <v>372000</v>
      </c>
      <c r="N48" s="3"/>
      <c r="O48" s="3">
        <f t="shared" si="5"/>
        <v>296300</v>
      </c>
      <c r="R48" s="1"/>
      <c r="X48" s="14" t="s">
        <v>273</v>
      </c>
      <c r="AF48" s="14" t="s">
        <v>273</v>
      </c>
      <c r="AG48" s="36"/>
      <c r="AH48" s="14" t="s">
        <v>273</v>
      </c>
    </row>
    <row r="49" spans="1:34" ht="18" customHeight="1" x14ac:dyDescent="0.3">
      <c r="A49" s="27">
        <v>3</v>
      </c>
      <c r="B49" t="s">
        <v>302</v>
      </c>
      <c r="C49" s="17" t="s">
        <v>301</v>
      </c>
      <c r="D49" t="s">
        <v>74</v>
      </c>
      <c r="E49" s="1" t="s">
        <v>0</v>
      </c>
      <c r="F49" s="1" t="s">
        <v>1</v>
      </c>
      <c r="G49" t="s">
        <v>303</v>
      </c>
      <c r="H49" s="11" t="s">
        <v>327</v>
      </c>
      <c r="I49" s="3"/>
      <c r="J49" s="3">
        <v>643400</v>
      </c>
      <c r="K49" s="3"/>
      <c r="L49" s="3"/>
      <c r="M49" s="3">
        <v>384551</v>
      </c>
      <c r="N49" s="3"/>
      <c r="O49" s="3">
        <f t="shared" si="5"/>
        <v>258849</v>
      </c>
      <c r="R49" s="1"/>
      <c r="X49" s="14" t="s">
        <v>273</v>
      </c>
      <c r="AF49" s="14" t="s">
        <v>273</v>
      </c>
      <c r="AG49" s="36"/>
      <c r="AH49" s="14" t="s">
        <v>273</v>
      </c>
    </row>
    <row r="50" spans="1:34" ht="18" customHeight="1" x14ac:dyDescent="0.3">
      <c r="A50" s="27">
        <v>4</v>
      </c>
      <c r="B50" t="s">
        <v>322</v>
      </c>
      <c r="C50" s="17" t="s">
        <v>296</v>
      </c>
      <c r="D50" t="s">
        <v>3</v>
      </c>
      <c r="E50" s="1" t="s">
        <v>0</v>
      </c>
      <c r="F50" s="1" t="s">
        <v>1</v>
      </c>
      <c r="G50" t="s">
        <v>323</v>
      </c>
      <c r="H50" s="11" t="s">
        <v>325</v>
      </c>
      <c r="I50" s="3"/>
      <c r="J50" s="3">
        <v>366800</v>
      </c>
      <c r="K50" s="3"/>
      <c r="L50" s="3"/>
      <c r="M50" s="3">
        <v>0</v>
      </c>
      <c r="N50" s="3"/>
      <c r="O50" s="22">
        <f>+J50-L50-M50-N50</f>
        <v>366800</v>
      </c>
      <c r="X50" s="14" t="s">
        <v>273</v>
      </c>
      <c r="AF50" s="14" t="s">
        <v>273</v>
      </c>
      <c r="AG50" s="36"/>
      <c r="AH50" s="14" t="s">
        <v>273</v>
      </c>
    </row>
    <row r="51" spans="1:34" ht="18" customHeight="1" x14ac:dyDescent="0.3">
      <c r="C51" s="17"/>
      <c r="I51" s="3"/>
      <c r="J51" s="3"/>
      <c r="K51" s="3"/>
      <c r="L51" s="3"/>
      <c r="M51" s="3"/>
      <c r="N51" s="3"/>
      <c r="O51" s="3">
        <f>SUM(O47:O50)</f>
        <v>1569649</v>
      </c>
      <c r="X51" s="14" t="s">
        <v>273</v>
      </c>
      <c r="AF51" s="14" t="s">
        <v>273</v>
      </c>
      <c r="AG51" s="36"/>
      <c r="AH51" s="14" t="s">
        <v>273</v>
      </c>
    </row>
    <row r="52" spans="1:34" ht="18" customHeight="1" x14ac:dyDescent="0.4">
      <c r="A52" s="31" t="s">
        <v>338</v>
      </c>
      <c r="B52" s="10" t="s">
        <v>141</v>
      </c>
      <c r="C52" s="17"/>
      <c r="I52" s="3"/>
      <c r="J52" s="3"/>
      <c r="K52" s="3"/>
      <c r="L52" s="3"/>
      <c r="M52" s="3"/>
      <c r="N52" s="3"/>
      <c r="O52" s="3"/>
      <c r="X52" s="14" t="s">
        <v>273</v>
      </c>
      <c r="AF52" s="14" t="s">
        <v>273</v>
      </c>
      <c r="AG52" s="36"/>
      <c r="AH52" s="14" t="s">
        <v>273</v>
      </c>
    </row>
    <row r="53" spans="1:34" ht="18" customHeight="1" x14ac:dyDescent="0.3">
      <c r="A53" s="27">
        <v>1</v>
      </c>
      <c r="B53" t="s">
        <v>304</v>
      </c>
      <c r="C53" t="s">
        <v>305</v>
      </c>
      <c r="D53" t="s">
        <v>306</v>
      </c>
      <c r="E53" t="s">
        <v>0</v>
      </c>
      <c r="F53" s="1" t="s">
        <v>1</v>
      </c>
      <c r="G53" s="20" t="s">
        <v>307</v>
      </c>
      <c r="H53" s="11" t="s">
        <v>320</v>
      </c>
      <c r="I53" s="3"/>
      <c r="J53" s="3">
        <v>308400</v>
      </c>
      <c r="K53" s="3"/>
      <c r="L53" s="3"/>
      <c r="M53" s="3">
        <v>300000</v>
      </c>
      <c r="N53" s="3"/>
      <c r="O53" s="3">
        <f t="shared" ref="O53:O54" si="6">+J53-L53-M53-N53</f>
        <v>8400</v>
      </c>
      <c r="X53" s="14" t="s">
        <v>273</v>
      </c>
      <c r="Y53" s="20" t="s">
        <v>398</v>
      </c>
      <c r="Z53" t="s">
        <v>377</v>
      </c>
      <c r="AA53" t="s">
        <v>399</v>
      </c>
      <c r="AB53" t="s">
        <v>400</v>
      </c>
      <c r="AC53" t="s">
        <v>383</v>
      </c>
      <c r="AF53" s="14" t="s">
        <v>273</v>
      </c>
      <c r="AG53" s="36" t="s">
        <v>347</v>
      </c>
      <c r="AH53" s="14" t="s">
        <v>273</v>
      </c>
    </row>
    <row r="54" spans="1:34" ht="18" customHeight="1" x14ac:dyDescent="0.3">
      <c r="A54" s="27">
        <v>2</v>
      </c>
      <c r="B54" t="s">
        <v>308</v>
      </c>
      <c r="C54" t="s">
        <v>28</v>
      </c>
      <c r="D54" s="1" t="s">
        <v>27</v>
      </c>
      <c r="E54" s="1" t="s">
        <v>0</v>
      </c>
      <c r="F54" s="1" t="s">
        <v>1</v>
      </c>
      <c r="G54" s="1" t="s">
        <v>26</v>
      </c>
      <c r="H54" s="11" t="s">
        <v>101</v>
      </c>
      <c r="I54" s="3"/>
      <c r="J54" s="3">
        <v>0</v>
      </c>
      <c r="K54" s="3"/>
      <c r="L54" s="3"/>
      <c r="M54" s="3">
        <v>0</v>
      </c>
      <c r="N54" s="3"/>
      <c r="O54" s="3">
        <f t="shared" si="6"/>
        <v>0</v>
      </c>
      <c r="X54" s="14" t="s">
        <v>273</v>
      </c>
      <c r="AF54" s="14" t="s">
        <v>273</v>
      </c>
      <c r="AG54" s="36"/>
      <c r="AH54" s="14" t="s">
        <v>273</v>
      </c>
    </row>
    <row r="55" spans="1:34" ht="18" customHeight="1" x14ac:dyDescent="0.3">
      <c r="A55" s="27">
        <v>3</v>
      </c>
      <c r="B55" t="s">
        <v>143</v>
      </c>
      <c r="C55" s="17" t="s">
        <v>284</v>
      </c>
      <c r="D55" t="s">
        <v>4</v>
      </c>
      <c r="E55" s="1" t="s">
        <v>0</v>
      </c>
      <c r="F55" s="1" t="s">
        <v>1</v>
      </c>
      <c r="G55" t="s">
        <v>144</v>
      </c>
      <c r="H55" s="11" t="s">
        <v>319</v>
      </c>
      <c r="I55" s="3"/>
      <c r="J55" s="3">
        <v>0</v>
      </c>
      <c r="K55" s="3"/>
      <c r="L55" s="3"/>
      <c r="M55" s="3">
        <v>0</v>
      </c>
      <c r="N55" s="3"/>
      <c r="O55" s="3">
        <f>+J55-L55-M55-N55</f>
        <v>0</v>
      </c>
      <c r="X55" s="14" t="s">
        <v>273</v>
      </c>
      <c r="AF55" s="14" t="s">
        <v>273</v>
      </c>
      <c r="AG55" s="36"/>
      <c r="AH55" s="14" t="s">
        <v>273</v>
      </c>
    </row>
    <row r="56" spans="1:34" ht="18" customHeight="1" x14ac:dyDescent="0.35">
      <c r="A56" s="27">
        <v>4</v>
      </c>
      <c r="B56" t="s">
        <v>309</v>
      </c>
      <c r="C56" t="s">
        <v>282</v>
      </c>
      <c r="D56" s="1" t="s">
        <v>41</v>
      </c>
      <c r="E56" s="1" t="s">
        <v>0</v>
      </c>
      <c r="F56" s="1" t="s">
        <v>1</v>
      </c>
      <c r="G56" s="1" t="s">
        <v>40</v>
      </c>
      <c r="H56" s="11" t="s">
        <v>128</v>
      </c>
      <c r="I56" s="3"/>
      <c r="J56" s="3">
        <v>0</v>
      </c>
      <c r="K56" s="3"/>
      <c r="L56" s="3"/>
      <c r="M56" s="3">
        <v>0</v>
      </c>
      <c r="N56" s="3"/>
      <c r="O56" s="22">
        <f>+J56-L56-M56-N56</f>
        <v>0</v>
      </c>
      <c r="X56" s="14" t="s">
        <v>273</v>
      </c>
      <c r="AF56" s="14" t="s">
        <v>273</v>
      </c>
      <c r="AG56" s="28" t="s">
        <v>142</v>
      </c>
      <c r="AH56" s="14" t="s">
        <v>273</v>
      </c>
    </row>
    <row r="57" spans="1:34" ht="18" customHeight="1" x14ac:dyDescent="0.35">
      <c r="D57" s="1"/>
      <c r="E57" s="1"/>
      <c r="F57" s="1"/>
      <c r="G57" s="1"/>
      <c r="H57" s="11"/>
      <c r="I57" s="3"/>
      <c r="J57" s="3"/>
      <c r="K57" s="3"/>
      <c r="L57" s="3"/>
      <c r="M57" s="3"/>
      <c r="N57" s="3"/>
      <c r="O57" s="3">
        <f>SUM(O53:O56)</f>
        <v>8400</v>
      </c>
      <c r="X57" s="14" t="s">
        <v>273</v>
      </c>
      <c r="AF57" s="14" t="s">
        <v>273</v>
      </c>
      <c r="AG57" s="16"/>
      <c r="AH57" s="14" t="s">
        <v>273</v>
      </c>
    </row>
    <row r="58" spans="1:34" ht="18" customHeight="1" x14ac:dyDescent="0.4">
      <c r="A58" s="31" t="s">
        <v>339</v>
      </c>
      <c r="B58" s="10" t="s">
        <v>358</v>
      </c>
      <c r="I58" s="3"/>
      <c r="J58" s="16" t="s">
        <v>283</v>
      </c>
      <c r="K58" s="3"/>
      <c r="L58" s="3"/>
      <c r="M58" s="3"/>
      <c r="N58" s="3"/>
      <c r="O58" s="3"/>
      <c r="X58" s="14" t="s">
        <v>273</v>
      </c>
      <c r="AF58" s="14" t="s">
        <v>273</v>
      </c>
      <c r="AG58" s="16"/>
      <c r="AH58" s="14" t="s">
        <v>273</v>
      </c>
    </row>
    <row r="59" spans="1:34" ht="18" customHeight="1" x14ac:dyDescent="0.3">
      <c r="A59" s="27">
        <v>1</v>
      </c>
      <c r="B59" s="1" t="s">
        <v>143</v>
      </c>
      <c r="C59" s="17" t="s">
        <v>284</v>
      </c>
      <c r="D59" t="s">
        <v>4</v>
      </c>
      <c r="E59" s="1" t="s">
        <v>0</v>
      </c>
      <c r="F59" s="1" t="s">
        <v>1</v>
      </c>
      <c r="G59" s="1" t="s">
        <v>144</v>
      </c>
      <c r="H59" s="11" t="s">
        <v>145</v>
      </c>
      <c r="I59" s="3"/>
      <c r="J59" s="3">
        <v>0</v>
      </c>
      <c r="K59" s="3"/>
      <c r="L59" s="3"/>
      <c r="M59" s="3">
        <v>0</v>
      </c>
      <c r="N59" s="3"/>
      <c r="O59" s="3">
        <f t="shared" ref="O59:O88" si="7">+J59-L59-M59-N59</f>
        <v>0</v>
      </c>
      <c r="X59" s="14" t="s">
        <v>273</v>
      </c>
      <c r="AF59" s="14" t="s">
        <v>273</v>
      </c>
      <c r="AH59" s="14" t="s">
        <v>273</v>
      </c>
    </row>
    <row r="60" spans="1:34" ht="18" customHeight="1" x14ac:dyDescent="0.3">
      <c r="A60" s="27">
        <v>2</v>
      </c>
      <c r="B60" s="1" t="s">
        <v>146</v>
      </c>
      <c r="C60" s="1" t="s">
        <v>147</v>
      </c>
      <c r="D60" s="1" t="s">
        <v>148</v>
      </c>
      <c r="E60" s="2" t="s">
        <v>0</v>
      </c>
      <c r="F60" s="1" t="s">
        <v>7</v>
      </c>
      <c r="G60" s="1" t="s">
        <v>149</v>
      </c>
      <c r="H60" s="21" t="s">
        <v>150</v>
      </c>
      <c r="I60" s="3"/>
      <c r="J60" s="3">
        <v>0</v>
      </c>
      <c r="K60" s="3"/>
      <c r="L60" s="3"/>
      <c r="M60" s="3">
        <v>0</v>
      </c>
      <c r="N60" s="3"/>
      <c r="O60" s="3">
        <f t="shared" si="7"/>
        <v>0</v>
      </c>
      <c r="X60" s="14" t="s">
        <v>273</v>
      </c>
      <c r="AF60" s="14" t="s">
        <v>273</v>
      </c>
      <c r="AH60" s="14" t="s">
        <v>273</v>
      </c>
    </row>
    <row r="61" spans="1:34" ht="18" customHeight="1" x14ac:dyDescent="0.3">
      <c r="A61" s="27">
        <v>3</v>
      </c>
      <c r="B61" s="1" t="s">
        <v>146</v>
      </c>
      <c r="C61" s="1" t="s">
        <v>151</v>
      </c>
      <c r="D61" s="1" t="s">
        <v>148</v>
      </c>
      <c r="E61" s="2" t="s">
        <v>0</v>
      </c>
      <c r="F61" s="1" t="s">
        <v>7</v>
      </c>
      <c r="G61" s="1" t="s">
        <v>152</v>
      </c>
      <c r="H61" s="21" t="s">
        <v>153</v>
      </c>
      <c r="I61" s="3"/>
      <c r="J61" s="3">
        <v>1904700</v>
      </c>
      <c r="K61" s="3"/>
      <c r="L61" s="3"/>
      <c r="M61" s="3">
        <f>1000000+300000+100000</f>
        <v>1400000</v>
      </c>
      <c r="N61" s="3"/>
      <c r="O61" s="3">
        <f t="shared" si="7"/>
        <v>504700</v>
      </c>
      <c r="X61" s="14" t="s">
        <v>273</v>
      </c>
      <c r="AF61" s="14" t="s">
        <v>273</v>
      </c>
      <c r="AH61" s="14" t="s">
        <v>273</v>
      </c>
    </row>
    <row r="62" spans="1:34" ht="18" customHeight="1" x14ac:dyDescent="0.3">
      <c r="A62" s="27">
        <v>4</v>
      </c>
      <c r="B62" s="1" t="s">
        <v>154</v>
      </c>
      <c r="C62" s="1" t="s">
        <v>155</v>
      </c>
      <c r="D62" s="1" t="s">
        <v>156</v>
      </c>
      <c r="E62" s="2" t="s">
        <v>0</v>
      </c>
      <c r="F62" s="1" t="s">
        <v>7</v>
      </c>
      <c r="G62" s="1" t="s">
        <v>157</v>
      </c>
      <c r="H62" s="21" t="s">
        <v>158</v>
      </c>
      <c r="I62" s="3"/>
      <c r="J62" s="3">
        <v>3995000</v>
      </c>
      <c r="K62" s="3"/>
      <c r="L62" s="3"/>
      <c r="M62" s="3">
        <v>0</v>
      </c>
      <c r="N62" s="3"/>
      <c r="O62" s="3">
        <f t="shared" si="7"/>
        <v>3995000</v>
      </c>
      <c r="X62" s="14" t="s">
        <v>273</v>
      </c>
      <c r="AF62" s="14" t="s">
        <v>273</v>
      </c>
      <c r="AH62" s="14" t="s">
        <v>273</v>
      </c>
    </row>
    <row r="63" spans="1:34" ht="18" customHeight="1" x14ac:dyDescent="0.3">
      <c r="A63" s="27">
        <v>5</v>
      </c>
      <c r="B63" s="1" t="s">
        <v>159</v>
      </c>
      <c r="C63" s="1" t="s">
        <v>160</v>
      </c>
      <c r="D63" s="1" t="s">
        <v>161</v>
      </c>
      <c r="E63" s="2" t="s">
        <v>0</v>
      </c>
      <c r="F63" s="1" t="s">
        <v>7</v>
      </c>
      <c r="G63" s="1" t="s">
        <v>162</v>
      </c>
      <c r="H63" s="21" t="s">
        <v>163</v>
      </c>
      <c r="I63" s="3"/>
      <c r="J63" s="3">
        <v>3524100</v>
      </c>
      <c r="K63" s="3"/>
      <c r="L63" s="3"/>
      <c r="M63" s="3">
        <v>2910000</v>
      </c>
      <c r="N63" s="3"/>
      <c r="O63" s="3">
        <f t="shared" si="7"/>
        <v>614100</v>
      </c>
      <c r="X63" s="14" t="s">
        <v>273</v>
      </c>
      <c r="AF63" s="14" t="s">
        <v>273</v>
      </c>
      <c r="AH63" s="14" t="s">
        <v>273</v>
      </c>
    </row>
    <row r="64" spans="1:34" ht="18" customHeight="1" x14ac:dyDescent="0.3">
      <c r="A64" s="27">
        <v>6</v>
      </c>
      <c r="B64" s="1" t="s">
        <v>164</v>
      </c>
      <c r="C64" s="1" t="s">
        <v>165</v>
      </c>
      <c r="D64" s="1" t="s">
        <v>166</v>
      </c>
      <c r="E64" s="2" t="s">
        <v>0</v>
      </c>
      <c r="F64" s="1" t="s">
        <v>1</v>
      </c>
      <c r="G64" s="5" t="s">
        <v>167</v>
      </c>
      <c r="H64" s="21" t="s">
        <v>168</v>
      </c>
      <c r="I64" s="3"/>
      <c r="J64" s="3">
        <v>249999</v>
      </c>
      <c r="K64" s="3"/>
      <c r="L64" s="3"/>
      <c r="M64" s="3">
        <v>0</v>
      </c>
      <c r="N64" s="3"/>
      <c r="O64" s="3">
        <f t="shared" si="7"/>
        <v>249999</v>
      </c>
      <c r="X64" s="14" t="s">
        <v>273</v>
      </c>
      <c r="Y64" s="20" t="s">
        <v>427</v>
      </c>
      <c r="Z64" t="s">
        <v>392</v>
      </c>
      <c r="AA64" t="s">
        <v>383</v>
      </c>
      <c r="AB64" t="s">
        <v>392</v>
      </c>
      <c r="AC64" t="s">
        <v>383</v>
      </c>
      <c r="AF64" s="14" t="s">
        <v>273</v>
      </c>
      <c r="AH64" s="14" t="s">
        <v>273</v>
      </c>
    </row>
    <row r="65" spans="1:34" ht="18" customHeight="1" x14ac:dyDescent="0.3">
      <c r="A65" s="27">
        <v>7</v>
      </c>
      <c r="B65" s="1" t="s">
        <v>169</v>
      </c>
      <c r="C65" s="1" t="s">
        <v>170</v>
      </c>
      <c r="D65" s="1" t="s">
        <v>171</v>
      </c>
      <c r="E65" s="2" t="s">
        <v>0</v>
      </c>
      <c r="F65" s="1" t="s">
        <v>1</v>
      </c>
      <c r="G65" s="1" t="s">
        <v>172</v>
      </c>
      <c r="H65" s="21" t="s">
        <v>173</v>
      </c>
      <c r="I65" s="3"/>
      <c r="J65" s="3">
        <v>695000</v>
      </c>
      <c r="K65" s="3"/>
      <c r="L65" s="3"/>
      <c r="M65" s="3">
        <v>279000</v>
      </c>
      <c r="N65" s="3"/>
      <c r="O65" s="3">
        <f t="shared" si="7"/>
        <v>416000</v>
      </c>
      <c r="X65" s="14" t="s">
        <v>273</v>
      </c>
      <c r="AF65" s="14" t="s">
        <v>273</v>
      </c>
      <c r="AH65" s="14" t="s">
        <v>273</v>
      </c>
    </row>
    <row r="66" spans="1:34" ht="18" customHeight="1" x14ac:dyDescent="0.3">
      <c r="A66" s="27">
        <v>8</v>
      </c>
      <c r="B66" s="1" t="s">
        <v>174</v>
      </c>
      <c r="C66" s="1" t="s">
        <v>175</v>
      </c>
      <c r="D66" s="1" t="s">
        <v>176</v>
      </c>
      <c r="E66" s="2" t="s">
        <v>0</v>
      </c>
      <c r="F66" s="1" t="s">
        <v>7</v>
      </c>
      <c r="G66" s="1" t="s">
        <v>177</v>
      </c>
      <c r="H66" s="21" t="s">
        <v>178</v>
      </c>
      <c r="I66" s="3"/>
      <c r="J66" s="3">
        <v>545000</v>
      </c>
      <c r="K66" s="3"/>
      <c r="L66" s="3"/>
      <c r="M66" s="3">
        <v>315748</v>
      </c>
      <c r="N66" s="3"/>
      <c r="O66" s="3">
        <f t="shared" si="7"/>
        <v>229252</v>
      </c>
      <c r="X66" s="14" t="s">
        <v>273</v>
      </c>
      <c r="AF66" s="14" t="s">
        <v>273</v>
      </c>
      <c r="AH66" s="14" t="s">
        <v>273</v>
      </c>
    </row>
    <row r="67" spans="1:34" ht="18" customHeight="1" x14ac:dyDescent="0.3">
      <c r="A67" s="27">
        <v>9</v>
      </c>
      <c r="B67" s="1" t="s">
        <v>179</v>
      </c>
      <c r="C67" s="1" t="s">
        <v>180</v>
      </c>
      <c r="D67" s="1" t="s">
        <v>181</v>
      </c>
      <c r="E67" s="2" t="s">
        <v>0</v>
      </c>
      <c r="F67" s="1" t="s">
        <v>1</v>
      </c>
      <c r="G67" s="1" t="s">
        <v>182</v>
      </c>
      <c r="H67" s="21" t="s">
        <v>183</v>
      </c>
      <c r="I67" s="3"/>
      <c r="J67" s="3">
        <v>278800</v>
      </c>
      <c r="K67" s="3"/>
      <c r="L67" s="3"/>
      <c r="M67" s="3">
        <v>146000</v>
      </c>
      <c r="N67" s="3"/>
      <c r="O67" s="3">
        <f t="shared" si="7"/>
        <v>132800</v>
      </c>
      <c r="X67" s="14" t="s">
        <v>273</v>
      </c>
      <c r="AF67" s="14" t="s">
        <v>273</v>
      </c>
      <c r="AH67" s="14" t="s">
        <v>273</v>
      </c>
    </row>
    <row r="68" spans="1:34" ht="18" customHeight="1" x14ac:dyDescent="0.3">
      <c r="A68" s="27">
        <v>10</v>
      </c>
      <c r="B68" s="1" t="s">
        <v>184</v>
      </c>
      <c r="C68" s="1" t="s">
        <v>185</v>
      </c>
      <c r="D68" s="1" t="s">
        <v>186</v>
      </c>
      <c r="E68" s="2" t="s">
        <v>0</v>
      </c>
      <c r="F68" s="1" t="s">
        <v>7</v>
      </c>
      <c r="G68" s="1" t="s">
        <v>187</v>
      </c>
      <c r="H68" s="21" t="s">
        <v>188</v>
      </c>
      <c r="I68" s="3"/>
      <c r="J68" s="3">
        <v>786100</v>
      </c>
      <c r="K68" s="3"/>
      <c r="L68" s="3"/>
      <c r="M68" s="3">
        <v>780000</v>
      </c>
      <c r="N68" s="3"/>
      <c r="O68" s="3">
        <f t="shared" si="7"/>
        <v>6100</v>
      </c>
      <c r="X68" s="14" t="s">
        <v>273</v>
      </c>
      <c r="AF68" s="14" t="s">
        <v>273</v>
      </c>
      <c r="AH68" s="14" t="s">
        <v>273</v>
      </c>
    </row>
    <row r="69" spans="1:34" ht="18" customHeight="1" x14ac:dyDescent="0.3">
      <c r="A69" s="27">
        <v>11</v>
      </c>
      <c r="B69" s="1" t="s">
        <v>189</v>
      </c>
      <c r="C69" s="1" t="s">
        <v>190</v>
      </c>
      <c r="D69" s="1" t="s">
        <v>191</v>
      </c>
      <c r="E69" s="2" t="s">
        <v>0</v>
      </c>
      <c r="F69" s="1" t="s">
        <v>1</v>
      </c>
      <c r="G69" s="1" t="s">
        <v>192</v>
      </c>
      <c r="H69" s="21" t="s">
        <v>193</v>
      </c>
      <c r="I69" s="3"/>
      <c r="J69" s="3">
        <v>465100</v>
      </c>
      <c r="K69" s="3"/>
      <c r="L69" s="3"/>
      <c r="M69" s="3">
        <v>322500</v>
      </c>
      <c r="N69" s="3"/>
      <c r="O69" s="3">
        <f t="shared" si="7"/>
        <v>142600</v>
      </c>
      <c r="X69" s="14" t="s">
        <v>273</v>
      </c>
      <c r="AF69" s="14" t="s">
        <v>273</v>
      </c>
      <c r="AH69" s="14" t="s">
        <v>273</v>
      </c>
    </row>
    <row r="70" spans="1:34" ht="18" customHeight="1" x14ac:dyDescent="0.3">
      <c r="A70" s="27">
        <v>12</v>
      </c>
      <c r="B70" s="1" t="s">
        <v>194</v>
      </c>
      <c r="C70" s="1" t="s">
        <v>195</v>
      </c>
      <c r="D70" s="1" t="s">
        <v>196</v>
      </c>
      <c r="E70" s="2" t="s">
        <v>0</v>
      </c>
      <c r="F70" s="1" t="s">
        <v>1</v>
      </c>
      <c r="G70" s="1" t="s">
        <v>197</v>
      </c>
      <c r="H70" s="21" t="s">
        <v>198</v>
      </c>
      <c r="I70" s="3"/>
      <c r="J70" s="3">
        <v>499999</v>
      </c>
      <c r="K70" s="3"/>
      <c r="L70" s="3"/>
      <c r="M70" s="3">
        <v>0</v>
      </c>
      <c r="N70" s="3"/>
      <c r="O70" s="3">
        <f t="shared" si="7"/>
        <v>499999</v>
      </c>
      <c r="X70" s="14" t="s">
        <v>273</v>
      </c>
      <c r="AF70" s="14" t="s">
        <v>273</v>
      </c>
      <c r="AH70" s="14" t="s">
        <v>273</v>
      </c>
    </row>
    <row r="71" spans="1:34" ht="18" customHeight="1" x14ac:dyDescent="0.3">
      <c r="A71" s="27">
        <v>13</v>
      </c>
      <c r="B71" s="1" t="s">
        <v>199</v>
      </c>
      <c r="C71" s="1" t="s">
        <v>200</v>
      </c>
      <c r="D71" s="1" t="s">
        <v>201</v>
      </c>
      <c r="E71" s="2" t="s">
        <v>0</v>
      </c>
      <c r="F71" s="1" t="s">
        <v>7</v>
      </c>
      <c r="G71" s="1" t="s">
        <v>202</v>
      </c>
      <c r="H71" s="21" t="s">
        <v>203</v>
      </c>
      <c r="I71" s="3"/>
      <c r="J71" s="3">
        <v>563900</v>
      </c>
      <c r="K71" s="3"/>
      <c r="L71" s="3"/>
      <c r="M71" s="3">
        <v>525000</v>
      </c>
      <c r="N71" s="3"/>
      <c r="O71" s="3">
        <f t="shared" si="7"/>
        <v>38900</v>
      </c>
      <c r="X71" s="14" t="s">
        <v>273</v>
      </c>
      <c r="AF71" s="14" t="s">
        <v>273</v>
      </c>
      <c r="AH71" s="14" t="s">
        <v>273</v>
      </c>
    </row>
    <row r="72" spans="1:34" ht="18" customHeight="1" x14ac:dyDescent="0.3">
      <c r="A72" s="27">
        <v>14</v>
      </c>
      <c r="B72" s="1" t="s">
        <v>204</v>
      </c>
      <c r="C72" s="1" t="s">
        <v>205</v>
      </c>
      <c r="D72" s="1" t="s">
        <v>206</v>
      </c>
      <c r="E72" s="2" t="s">
        <v>0</v>
      </c>
      <c r="F72" s="1" t="s">
        <v>1</v>
      </c>
      <c r="G72" s="1" t="s">
        <v>207</v>
      </c>
      <c r="H72" s="21" t="s">
        <v>208</v>
      </c>
      <c r="I72" s="3"/>
      <c r="J72" s="3">
        <v>587300</v>
      </c>
      <c r="K72" s="3"/>
      <c r="L72" s="3"/>
      <c r="M72" s="3">
        <v>0</v>
      </c>
      <c r="N72" s="3"/>
      <c r="O72" s="3">
        <f t="shared" si="7"/>
        <v>587300</v>
      </c>
      <c r="X72" s="14" t="s">
        <v>273</v>
      </c>
      <c r="AF72" s="14" t="s">
        <v>273</v>
      </c>
      <c r="AH72" s="14" t="s">
        <v>273</v>
      </c>
    </row>
    <row r="73" spans="1:34" ht="18" customHeight="1" x14ac:dyDescent="0.3">
      <c r="A73" s="27">
        <v>15</v>
      </c>
      <c r="B73" s="1" t="s">
        <v>209</v>
      </c>
      <c r="C73" s="1" t="s">
        <v>210</v>
      </c>
      <c r="D73" s="1" t="s">
        <v>211</v>
      </c>
      <c r="E73" s="2" t="s">
        <v>0</v>
      </c>
      <c r="F73" s="1" t="s">
        <v>1</v>
      </c>
      <c r="G73" s="1" t="s">
        <v>212</v>
      </c>
      <c r="H73" s="21" t="s">
        <v>213</v>
      </c>
      <c r="I73" s="3"/>
      <c r="J73" s="3">
        <v>511500</v>
      </c>
      <c r="K73" s="3"/>
      <c r="L73" s="3"/>
      <c r="M73" s="3">
        <v>0</v>
      </c>
      <c r="N73" s="3"/>
      <c r="O73" s="3">
        <f t="shared" si="7"/>
        <v>511500</v>
      </c>
      <c r="X73" s="14" t="s">
        <v>273</v>
      </c>
      <c r="AF73" s="14" t="s">
        <v>273</v>
      </c>
      <c r="AH73" s="14" t="s">
        <v>273</v>
      </c>
    </row>
    <row r="74" spans="1:34" ht="18" customHeight="1" x14ac:dyDescent="0.3">
      <c r="A74" s="27">
        <v>16</v>
      </c>
      <c r="B74" s="1" t="s">
        <v>214</v>
      </c>
      <c r="C74" s="1" t="s">
        <v>215</v>
      </c>
      <c r="D74" s="1" t="s">
        <v>216</v>
      </c>
      <c r="E74" s="2" t="s">
        <v>0</v>
      </c>
      <c r="F74" s="1" t="s">
        <v>1</v>
      </c>
      <c r="G74" s="1" t="s">
        <v>217</v>
      </c>
      <c r="H74" s="21" t="s">
        <v>218</v>
      </c>
      <c r="I74" s="3"/>
      <c r="J74" s="3">
        <v>652400</v>
      </c>
      <c r="K74" s="3"/>
      <c r="L74" s="3"/>
      <c r="M74" s="3">
        <v>0</v>
      </c>
      <c r="N74" s="3"/>
      <c r="O74" s="3">
        <f t="shared" si="7"/>
        <v>652400</v>
      </c>
      <c r="X74" s="14" t="s">
        <v>273</v>
      </c>
      <c r="AF74" s="14" t="s">
        <v>273</v>
      </c>
      <c r="AH74" s="14" t="s">
        <v>273</v>
      </c>
    </row>
    <row r="75" spans="1:34" ht="18" customHeight="1" x14ac:dyDescent="0.3">
      <c r="A75" s="27">
        <v>17</v>
      </c>
      <c r="B75" s="1" t="s">
        <v>219</v>
      </c>
      <c r="C75" s="1" t="s">
        <v>220</v>
      </c>
      <c r="D75" s="1" t="s">
        <v>221</v>
      </c>
      <c r="E75" s="2" t="s">
        <v>0</v>
      </c>
      <c r="F75" s="1" t="s">
        <v>1</v>
      </c>
      <c r="G75" s="1" t="s">
        <v>222</v>
      </c>
      <c r="H75" s="21" t="s">
        <v>223</v>
      </c>
      <c r="I75" s="3"/>
      <c r="J75" s="3">
        <v>676700</v>
      </c>
      <c r="K75" s="3"/>
      <c r="L75" s="3"/>
      <c r="M75" s="3">
        <f>53704+78750+122967</f>
        <v>255421</v>
      </c>
      <c r="N75" s="3"/>
      <c r="O75" s="3">
        <f t="shared" si="7"/>
        <v>421279</v>
      </c>
      <c r="X75" s="14" t="s">
        <v>273</v>
      </c>
      <c r="AF75" s="14" t="s">
        <v>273</v>
      </c>
      <c r="AH75" s="14" t="s">
        <v>273</v>
      </c>
    </row>
    <row r="76" spans="1:34" ht="18" customHeight="1" x14ac:dyDescent="0.3">
      <c r="A76" s="27">
        <v>18</v>
      </c>
      <c r="B76" s="1" t="s">
        <v>224</v>
      </c>
      <c r="C76" s="1" t="s">
        <v>225</v>
      </c>
      <c r="D76" s="1" t="s">
        <v>181</v>
      </c>
      <c r="E76" s="2" t="s">
        <v>0</v>
      </c>
      <c r="F76" s="1" t="s">
        <v>1</v>
      </c>
      <c r="G76" s="1" t="s">
        <v>226</v>
      </c>
      <c r="H76" s="21" t="s">
        <v>227</v>
      </c>
      <c r="I76" s="3"/>
      <c r="J76" s="3">
        <v>299999</v>
      </c>
      <c r="K76" s="3"/>
      <c r="L76" s="3"/>
      <c r="M76" s="3">
        <f>160350+30000</f>
        <v>190350</v>
      </c>
      <c r="N76" s="3"/>
      <c r="O76" s="3">
        <f t="shared" si="7"/>
        <v>109649</v>
      </c>
      <c r="X76" s="14" t="s">
        <v>273</v>
      </c>
      <c r="AF76" s="14" t="s">
        <v>273</v>
      </c>
      <c r="AH76" s="14" t="s">
        <v>273</v>
      </c>
    </row>
    <row r="77" spans="1:34" ht="18" customHeight="1" x14ac:dyDescent="0.3">
      <c r="A77" s="27">
        <v>19</v>
      </c>
      <c r="B77" s="1" t="s">
        <v>228</v>
      </c>
      <c r="C77" s="1" t="s">
        <v>229</v>
      </c>
      <c r="D77" s="1" t="s">
        <v>230</v>
      </c>
      <c r="E77" s="2" t="s">
        <v>0</v>
      </c>
      <c r="F77" s="1" t="s">
        <v>1</v>
      </c>
      <c r="G77" s="1" t="s">
        <v>231</v>
      </c>
      <c r="H77" s="21" t="s">
        <v>232</v>
      </c>
      <c r="I77" s="3"/>
      <c r="J77" s="3">
        <v>276800</v>
      </c>
      <c r="K77" s="3"/>
      <c r="L77" s="3"/>
      <c r="M77" s="3">
        <f>9054+112000+28416</f>
        <v>149470</v>
      </c>
      <c r="N77" s="3"/>
      <c r="O77" s="3">
        <f t="shared" si="7"/>
        <v>127330</v>
      </c>
      <c r="X77" s="14" t="s">
        <v>273</v>
      </c>
      <c r="AF77" s="14" t="s">
        <v>273</v>
      </c>
      <c r="AH77" s="14" t="s">
        <v>273</v>
      </c>
    </row>
    <row r="78" spans="1:34" ht="18" customHeight="1" x14ac:dyDescent="0.3">
      <c r="A78" s="27">
        <v>20</v>
      </c>
      <c r="B78" s="1" t="s">
        <v>233</v>
      </c>
      <c r="C78" s="1" t="s">
        <v>234</v>
      </c>
      <c r="D78" s="1" t="s">
        <v>191</v>
      </c>
      <c r="E78" s="2" t="s">
        <v>0</v>
      </c>
      <c r="F78" s="1" t="s">
        <v>1</v>
      </c>
      <c r="G78" s="1" t="s">
        <v>235</v>
      </c>
      <c r="H78" s="21" t="s">
        <v>236</v>
      </c>
      <c r="I78" s="3"/>
      <c r="J78" s="3">
        <v>597000</v>
      </c>
      <c r="K78" s="3"/>
      <c r="L78" s="3"/>
      <c r="M78" s="3">
        <v>234000</v>
      </c>
      <c r="N78" s="3"/>
      <c r="O78" s="3">
        <f t="shared" si="7"/>
        <v>363000</v>
      </c>
      <c r="X78" s="14" t="s">
        <v>273</v>
      </c>
      <c r="AF78" s="14" t="s">
        <v>273</v>
      </c>
      <c r="AH78" s="14" t="s">
        <v>273</v>
      </c>
    </row>
    <row r="79" spans="1:34" ht="18" customHeight="1" x14ac:dyDescent="0.3">
      <c r="A79" s="27">
        <v>21</v>
      </c>
      <c r="B79" s="1" t="s">
        <v>237</v>
      </c>
      <c r="C79" s="1" t="s">
        <v>238</v>
      </c>
      <c r="D79" s="1" t="s">
        <v>239</v>
      </c>
      <c r="E79" s="2" t="s">
        <v>0</v>
      </c>
      <c r="F79" s="1" t="s">
        <v>1</v>
      </c>
      <c r="G79" s="1" t="s">
        <v>240</v>
      </c>
      <c r="H79" s="21" t="s">
        <v>241</v>
      </c>
      <c r="I79" s="3"/>
      <c r="J79" s="3">
        <v>600900</v>
      </c>
      <c r="K79" s="3"/>
      <c r="L79" s="3"/>
      <c r="M79" s="3">
        <v>185000</v>
      </c>
      <c r="N79" s="3"/>
      <c r="O79" s="3">
        <f t="shared" si="7"/>
        <v>415900</v>
      </c>
      <c r="X79" s="14" t="s">
        <v>273</v>
      </c>
      <c r="AF79" s="14" t="s">
        <v>273</v>
      </c>
      <c r="AH79" s="14" t="s">
        <v>273</v>
      </c>
    </row>
    <row r="80" spans="1:34" ht="18" customHeight="1" x14ac:dyDescent="0.3">
      <c r="A80" s="27">
        <v>22</v>
      </c>
      <c r="B80" s="1" t="s">
        <v>242</v>
      </c>
      <c r="C80" s="1" t="s">
        <v>243</v>
      </c>
      <c r="D80" s="1" t="s">
        <v>244</v>
      </c>
      <c r="E80" s="2" t="s">
        <v>0</v>
      </c>
      <c r="F80" s="1" t="s">
        <v>1</v>
      </c>
      <c r="G80" s="1" t="s">
        <v>245</v>
      </c>
      <c r="H80" s="21" t="s">
        <v>246</v>
      </c>
      <c r="I80" s="3"/>
      <c r="J80" s="3">
        <v>1232500</v>
      </c>
      <c r="K80" s="3"/>
      <c r="L80" s="3"/>
      <c r="M80" s="3">
        <v>772500</v>
      </c>
      <c r="N80" s="3"/>
      <c r="O80" s="3">
        <f t="shared" si="7"/>
        <v>460000</v>
      </c>
      <c r="X80" s="14" t="s">
        <v>273</v>
      </c>
      <c r="AF80" s="14" t="s">
        <v>273</v>
      </c>
      <c r="AH80" s="14" t="s">
        <v>273</v>
      </c>
    </row>
    <row r="81" spans="1:34" ht="18" customHeight="1" x14ac:dyDescent="0.3">
      <c r="A81" s="27">
        <v>23</v>
      </c>
      <c r="B81" s="1" t="s">
        <v>247</v>
      </c>
      <c r="C81" s="1" t="s">
        <v>248</v>
      </c>
      <c r="D81" s="1" t="s">
        <v>249</v>
      </c>
      <c r="E81" s="2" t="s">
        <v>0</v>
      </c>
      <c r="F81" s="1" t="s">
        <v>7</v>
      </c>
      <c r="G81" s="1" t="s">
        <v>250</v>
      </c>
      <c r="H81" s="21" t="s">
        <v>251</v>
      </c>
      <c r="I81" s="3"/>
      <c r="J81" s="3">
        <v>1108200</v>
      </c>
      <c r="K81" s="3"/>
      <c r="L81" s="3"/>
      <c r="M81" s="3">
        <v>494000</v>
      </c>
      <c r="N81" s="3"/>
      <c r="O81" s="3">
        <f t="shared" si="7"/>
        <v>614200</v>
      </c>
      <c r="X81" s="14" t="s">
        <v>273</v>
      </c>
      <c r="AF81" s="14" t="s">
        <v>273</v>
      </c>
      <c r="AH81" s="14" t="s">
        <v>273</v>
      </c>
    </row>
    <row r="82" spans="1:34" ht="18" customHeight="1" x14ac:dyDescent="0.3">
      <c r="A82" s="27">
        <v>24</v>
      </c>
      <c r="B82" s="1" t="s">
        <v>252</v>
      </c>
      <c r="C82" s="1" t="s">
        <v>253</v>
      </c>
      <c r="D82" s="1" t="s">
        <v>254</v>
      </c>
      <c r="E82" s="2" t="s">
        <v>0</v>
      </c>
      <c r="F82" s="1" t="s">
        <v>7</v>
      </c>
      <c r="G82" s="1" t="s">
        <v>255</v>
      </c>
      <c r="H82" s="21" t="s">
        <v>256</v>
      </c>
      <c r="I82" s="3"/>
      <c r="J82" s="3">
        <v>755600</v>
      </c>
      <c r="K82" s="3"/>
      <c r="L82" s="3"/>
      <c r="M82" s="3">
        <f>2007+215957+148300</f>
        <v>366264</v>
      </c>
      <c r="N82" s="3"/>
      <c r="O82" s="3">
        <f t="shared" si="7"/>
        <v>389336</v>
      </c>
      <c r="X82" s="14" t="s">
        <v>273</v>
      </c>
      <c r="AF82" s="14" t="s">
        <v>273</v>
      </c>
      <c r="AH82" s="14" t="s">
        <v>273</v>
      </c>
    </row>
    <row r="83" spans="1:34" ht="18" customHeight="1" x14ac:dyDescent="0.3">
      <c r="A83" s="27">
        <v>25</v>
      </c>
      <c r="B83" s="1" t="s">
        <v>262</v>
      </c>
      <c r="C83" s="1" t="s">
        <v>263</v>
      </c>
      <c r="D83" s="1" t="s">
        <v>161</v>
      </c>
      <c r="E83" s="2" t="s">
        <v>0</v>
      </c>
      <c r="F83" s="1" t="s">
        <v>7</v>
      </c>
      <c r="G83" s="1" t="s">
        <v>264</v>
      </c>
      <c r="H83" s="21" t="s">
        <v>265</v>
      </c>
      <c r="I83" s="3"/>
      <c r="J83" s="3">
        <v>0</v>
      </c>
      <c r="K83" s="3"/>
      <c r="L83" s="3"/>
      <c r="M83" s="3">
        <v>0</v>
      </c>
      <c r="N83" s="3"/>
      <c r="O83" s="3">
        <f t="shared" si="7"/>
        <v>0</v>
      </c>
      <c r="X83" s="14" t="s">
        <v>273</v>
      </c>
      <c r="AF83" s="14" t="s">
        <v>273</v>
      </c>
      <c r="AH83" s="14" t="s">
        <v>273</v>
      </c>
    </row>
    <row r="84" spans="1:34" ht="18" customHeight="1" x14ac:dyDescent="0.3">
      <c r="A84" s="27">
        <v>26</v>
      </c>
      <c r="B84" s="1" t="s">
        <v>262</v>
      </c>
      <c r="C84" s="1" t="s">
        <v>266</v>
      </c>
      <c r="D84" s="1" t="s">
        <v>161</v>
      </c>
      <c r="E84" s="2" t="s">
        <v>0</v>
      </c>
      <c r="F84" s="1" t="s">
        <v>7</v>
      </c>
      <c r="G84" s="1" t="s">
        <v>267</v>
      </c>
      <c r="H84" s="21" t="s">
        <v>268</v>
      </c>
      <c r="I84" s="3"/>
      <c r="J84" s="3">
        <v>2088500</v>
      </c>
      <c r="K84" s="3"/>
      <c r="L84" s="3"/>
      <c r="M84" s="3">
        <v>0</v>
      </c>
      <c r="N84" s="3"/>
      <c r="O84" s="22">
        <f t="shared" si="7"/>
        <v>2088500</v>
      </c>
      <c r="X84" s="14" t="s">
        <v>273</v>
      </c>
      <c r="AF84" s="14" t="s">
        <v>273</v>
      </c>
      <c r="AH84" s="14" t="s">
        <v>273</v>
      </c>
    </row>
    <row r="85" spans="1:34" ht="18" customHeight="1" x14ac:dyDescent="0.3">
      <c r="B85" s="1"/>
      <c r="C85" s="1"/>
      <c r="D85" s="1"/>
      <c r="E85" s="2"/>
      <c r="F85" s="1"/>
      <c r="G85" s="1"/>
      <c r="H85" s="21"/>
      <c r="I85" s="3"/>
      <c r="J85" s="3"/>
      <c r="K85" s="3"/>
      <c r="L85" s="3"/>
      <c r="M85" s="3"/>
      <c r="N85" s="3"/>
      <c r="O85" s="3">
        <f>SUM(O59:O84)</f>
        <v>13569844</v>
      </c>
      <c r="X85" s="14" t="s">
        <v>273</v>
      </c>
      <c r="AF85" s="14" t="s">
        <v>273</v>
      </c>
      <c r="AH85" s="14" t="s">
        <v>273</v>
      </c>
    </row>
    <row r="86" spans="1:34" ht="18" customHeight="1" x14ac:dyDescent="0.3">
      <c r="B86" s="1"/>
      <c r="C86" s="1"/>
      <c r="D86" s="1"/>
      <c r="E86" s="2"/>
      <c r="F86" s="1"/>
      <c r="G86" s="1"/>
      <c r="H86" s="21"/>
      <c r="I86" s="3"/>
      <c r="J86" s="3"/>
      <c r="K86" s="3"/>
      <c r="L86" s="3"/>
      <c r="M86" s="3"/>
      <c r="N86" s="3"/>
      <c r="O86" s="3"/>
      <c r="X86" s="14" t="s">
        <v>273</v>
      </c>
      <c r="AF86" s="14" t="s">
        <v>273</v>
      </c>
      <c r="AH86" s="14" t="s">
        <v>273</v>
      </c>
    </row>
    <row r="87" spans="1:34" ht="18" customHeight="1" x14ac:dyDescent="0.3">
      <c r="A87" s="27">
        <v>1</v>
      </c>
      <c r="B87" s="1" t="s">
        <v>269</v>
      </c>
      <c r="C87" s="1" t="s">
        <v>270</v>
      </c>
      <c r="D87" s="1" t="s">
        <v>191</v>
      </c>
      <c r="E87" s="2" t="s">
        <v>0</v>
      </c>
      <c r="F87" s="1" t="s">
        <v>1</v>
      </c>
      <c r="G87" s="1" t="s">
        <v>271</v>
      </c>
      <c r="H87" s="21" t="s">
        <v>272</v>
      </c>
      <c r="I87" s="3"/>
      <c r="J87" s="3">
        <v>605200</v>
      </c>
      <c r="K87" s="3"/>
      <c r="L87" s="3"/>
      <c r="M87" s="3">
        <v>269372</v>
      </c>
      <c r="N87" s="3"/>
      <c r="O87" s="3">
        <f t="shared" si="7"/>
        <v>335828</v>
      </c>
      <c r="X87" s="14" t="s">
        <v>273</v>
      </c>
      <c r="AF87" s="14" t="s">
        <v>273</v>
      </c>
      <c r="AH87" s="14" t="s">
        <v>273</v>
      </c>
    </row>
    <row r="88" spans="1:34" ht="18" customHeight="1" x14ac:dyDescent="0.3">
      <c r="A88" s="27">
        <v>2</v>
      </c>
      <c r="B88" s="1" t="s">
        <v>257</v>
      </c>
      <c r="C88" s="32" t="s">
        <v>258</v>
      </c>
      <c r="D88" s="1" t="s">
        <v>259</v>
      </c>
      <c r="E88" s="2" t="s">
        <v>0</v>
      </c>
      <c r="F88" s="1" t="s">
        <v>1</v>
      </c>
      <c r="G88" s="1" t="s">
        <v>260</v>
      </c>
      <c r="H88" s="11" t="s">
        <v>261</v>
      </c>
      <c r="I88" s="3"/>
      <c r="J88" s="3">
        <v>1142700</v>
      </c>
      <c r="K88" s="3"/>
      <c r="L88" s="3"/>
      <c r="M88" s="3">
        <v>675000</v>
      </c>
      <c r="N88" s="3"/>
      <c r="O88" s="22">
        <f t="shared" si="7"/>
        <v>467700</v>
      </c>
      <c r="X88" s="14" t="s">
        <v>273</v>
      </c>
      <c r="Y88" s="20" t="s">
        <v>407</v>
      </c>
      <c r="Z88" t="s">
        <v>392</v>
      </c>
      <c r="AA88" t="s">
        <v>383</v>
      </c>
      <c r="AB88" t="s">
        <v>392</v>
      </c>
      <c r="AC88" t="s">
        <v>383</v>
      </c>
      <c r="AD88" s="20" t="s">
        <v>408</v>
      </c>
      <c r="AF88" s="14" t="s">
        <v>273</v>
      </c>
      <c r="AH88" s="14" t="s">
        <v>273</v>
      </c>
    </row>
    <row r="89" spans="1:34" ht="18" customHeight="1" x14ac:dyDescent="0.35">
      <c r="I89" s="3"/>
      <c r="J89" s="3"/>
      <c r="K89" s="3"/>
      <c r="L89" s="3"/>
      <c r="M89" s="3"/>
      <c r="N89" s="3"/>
      <c r="O89" s="3">
        <f>SUM(O87:O88)</f>
        <v>803528</v>
      </c>
      <c r="X89" s="14" t="s">
        <v>273</v>
      </c>
      <c r="AF89" s="14" t="s">
        <v>273</v>
      </c>
      <c r="AG89" s="16"/>
      <c r="AH89" s="14" t="s">
        <v>273</v>
      </c>
    </row>
    <row r="90" spans="1:34" ht="18" customHeight="1" x14ac:dyDescent="0.4">
      <c r="A90" s="31" t="s">
        <v>340</v>
      </c>
      <c r="B90" s="10" t="s">
        <v>136</v>
      </c>
      <c r="C90" s="17"/>
      <c r="I90" s="3"/>
      <c r="J90" s="3"/>
      <c r="K90" s="3"/>
      <c r="L90" s="3"/>
      <c r="M90" s="3"/>
      <c r="N90" s="3"/>
      <c r="O90" s="3"/>
      <c r="X90" s="14" t="s">
        <v>273</v>
      </c>
      <c r="AF90" s="14" t="s">
        <v>273</v>
      </c>
      <c r="AG90" s="16"/>
      <c r="AH90" s="14" t="s">
        <v>273</v>
      </c>
    </row>
    <row r="91" spans="1:34" ht="18" customHeight="1" x14ac:dyDescent="0.35">
      <c r="A91" s="27">
        <v>1</v>
      </c>
      <c r="B91" t="s">
        <v>310</v>
      </c>
      <c r="C91" s="17" t="s">
        <v>311</v>
      </c>
      <c r="D91" t="s">
        <v>3</v>
      </c>
      <c r="E91" s="1" t="s">
        <v>0</v>
      </c>
      <c r="F91" s="1" t="s">
        <v>1</v>
      </c>
      <c r="G91" t="s">
        <v>312</v>
      </c>
      <c r="H91" s="11" t="s">
        <v>321</v>
      </c>
      <c r="I91" s="3"/>
      <c r="J91" s="3">
        <v>920700</v>
      </c>
      <c r="K91" s="3"/>
      <c r="L91" s="3"/>
      <c r="M91" s="3">
        <f>607500</f>
        <v>607500</v>
      </c>
      <c r="N91" s="3"/>
      <c r="O91" s="3">
        <f t="shared" ref="O91:O92" si="8">+J91-L91-M91-N91</f>
        <v>313200</v>
      </c>
      <c r="X91" s="14" t="s">
        <v>273</v>
      </c>
      <c r="Y91" s="20" t="s">
        <v>409</v>
      </c>
      <c r="Z91" t="s">
        <v>392</v>
      </c>
      <c r="AA91" t="s">
        <v>383</v>
      </c>
      <c r="AB91" t="s">
        <v>377</v>
      </c>
      <c r="AD91" t="s">
        <v>410</v>
      </c>
      <c r="AF91" s="14" t="s">
        <v>273</v>
      </c>
      <c r="AG91" s="16"/>
      <c r="AH91" s="14" t="s">
        <v>273</v>
      </c>
    </row>
    <row r="92" spans="1:34" ht="18" customHeight="1" x14ac:dyDescent="0.35">
      <c r="A92" s="27">
        <v>2</v>
      </c>
      <c r="B92" t="s">
        <v>313</v>
      </c>
      <c r="C92" s="17" t="s">
        <v>314</v>
      </c>
      <c r="D92" t="s">
        <v>41</v>
      </c>
      <c r="E92" s="1" t="s">
        <v>0</v>
      </c>
      <c r="F92" s="1" t="s">
        <v>1</v>
      </c>
      <c r="G92" t="s">
        <v>315</v>
      </c>
      <c r="H92" s="39" t="s">
        <v>328</v>
      </c>
      <c r="I92" s="3"/>
      <c r="J92" s="3">
        <v>0</v>
      </c>
      <c r="K92" s="3"/>
      <c r="L92" s="3"/>
      <c r="M92" s="3">
        <v>0</v>
      </c>
      <c r="N92" s="3"/>
      <c r="O92" s="22">
        <f t="shared" si="8"/>
        <v>0</v>
      </c>
      <c r="X92" s="14" t="s">
        <v>273</v>
      </c>
      <c r="AF92" s="14" t="s">
        <v>273</v>
      </c>
      <c r="AG92" s="16" t="s">
        <v>363</v>
      </c>
      <c r="AH92" s="14" t="s">
        <v>273</v>
      </c>
    </row>
    <row r="93" spans="1:34" ht="18" customHeight="1" x14ac:dyDescent="0.35">
      <c r="I93" s="3"/>
      <c r="J93" s="3"/>
      <c r="K93" s="3"/>
      <c r="L93" s="3"/>
      <c r="M93" s="3"/>
      <c r="N93" s="3"/>
      <c r="O93" s="3">
        <f>SUM(O91:O92)</f>
        <v>313200</v>
      </c>
      <c r="X93" s="14" t="s">
        <v>273</v>
      </c>
      <c r="AF93" s="14" t="s">
        <v>273</v>
      </c>
      <c r="AG93" s="16"/>
      <c r="AH93" s="14" t="s">
        <v>273</v>
      </c>
    </row>
    <row r="94" spans="1:34" ht="18" customHeight="1" x14ac:dyDescent="0.4">
      <c r="A94" s="31" t="s">
        <v>341</v>
      </c>
      <c r="B94" s="29" t="s">
        <v>364</v>
      </c>
      <c r="C94" s="23"/>
      <c r="D94" s="23"/>
      <c r="I94" s="3"/>
      <c r="J94" s="3"/>
      <c r="K94" s="3"/>
      <c r="L94" s="3"/>
      <c r="M94" s="3"/>
      <c r="N94" s="3"/>
      <c r="O94" s="3"/>
      <c r="X94" s="14" t="s">
        <v>273</v>
      </c>
      <c r="AF94" s="14" t="s">
        <v>273</v>
      </c>
      <c r="AG94" s="16"/>
      <c r="AH94" s="14" t="s">
        <v>273</v>
      </c>
    </row>
    <row r="95" spans="1:34" s="6" customFormat="1" ht="18" customHeight="1" x14ac:dyDescent="0.35">
      <c r="A95" s="2">
        <v>1</v>
      </c>
      <c r="B95" s="4" t="s">
        <v>6</v>
      </c>
      <c r="C95" s="1" t="s">
        <v>16</v>
      </c>
      <c r="D95" s="1" t="s">
        <v>15</v>
      </c>
      <c r="E95" s="1" t="s">
        <v>0</v>
      </c>
      <c r="F95" s="1" t="s">
        <v>14</v>
      </c>
      <c r="G95" s="1" t="s">
        <v>13</v>
      </c>
      <c r="H95" s="11" t="s">
        <v>131</v>
      </c>
      <c r="I95" s="3">
        <v>1200000</v>
      </c>
      <c r="J95" s="25">
        <v>1200000</v>
      </c>
      <c r="K95" s="3"/>
      <c r="L95" s="3"/>
      <c r="M95" s="3"/>
      <c r="N95" s="3"/>
      <c r="O95" s="3"/>
      <c r="X95" s="14" t="s">
        <v>273</v>
      </c>
      <c r="AF95" s="14" t="s">
        <v>273</v>
      </c>
      <c r="AG95" s="16"/>
      <c r="AH95" s="14" t="s">
        <v>273</v>
      </c>
    </row>
    <row r="96" spans="1:34" ht="18" customHeight="1" x14ac:dyDescent="0.35">
      <c r="A96" s="2">
        <v>2</v>
      </c>
      <c r="B96" s="4" t="s">
        <v>6</v>
      </c>
      <c r="C96" s="1" t="s">
        <v>118</v>
      </c>
      <c r="D96" s="1" t="s">
        <v>119</v>
      </c>
      <c r="E96" s="1" t="s">
        <v>0</v>
      </c>
      <c r="F96" s="1" t="s">
        <v>14</v>
      </c>
      <c r="G96" s="1" t="s">
        <v>130</v>
      </c>
      <c r="H96" s="11" t="s">
        <v>129</v>
      </c>
      <c r="I96" s="3"/>
      <c r="J96" s="26">
        <v>315000</v>
      </c>
      <c r="K96" s="3"/>
      <c r="L96" s="3"/>
      <c r="M96" s="3"/>
      <c r="N96" s="3"/>
      <c r="O96" s="3"/>
      <c r="X96" s="14" t="s">
        <v>273</v>
      </c>
      <c r="AF96" s="14" t="s">
        <v>273</v>
      </c>
      <c r="AG96" s="16"/>
      <c r="AH96" s="14" t="s">
        <v>273</v>
      </c>
    </row>
    <row r="97" spans="1:34" ht="18" customHeight="1" x14ac:dyDescent="0.35">
      <c r="I97" s="3"/>
      <c r="J97" s="25">
        <f>SUM(J95:J96)</f>
        <v>1515000</v>
      </c>
      <c r="K97" s="3"/>
      <c r="L97" s="3"/>
      <c r="M97" s="3"/>
      <c r="N97" s="3"/>
      <c r="O97" s="3"/>
      <c r="X97" s="14" t="s">
        <v>273</v>
      </c>
      <c r="AF97" s="14" t="s">
        <v>273</v>
      </c>
      <c r="AG97" s="16"/>
      <c r="AH97" s="14" t="s">
        <v>273</v>
      </c>
    </row>
    <row r="98" spans="1:34" s="12" customFormat="1" ht="18" customHeight="1" x14ac:dyDescent="0.35">
      <c r="B98" s="30" t="s">
        <v>365</v>
      </c>
      <c r="I98" s="3"/>
      <c r="J98" s="3"/>
      <c r="K98" s="3"/>
      <c r="L98" s="3"/>
      <c r="M98" s="3"/>
      <c r="N98" s="3"/>
      <c r="O98" s="3"/>
      <c r="X98" s="14" t="s">
        <v>273</v>
      </c>
      <c r="AF98" s="14" t="s">
        <v>273</v>
      </c>
      <c r="AG98" s="16"/>
      <c r="AH98" s="14" t="s">
        <v>273</v>
      </c>
    </row>
    <row r="99" spans="1:34" s="6" customFormat="1" ht="18" customHeight="1" x14ac:dyDescent="0.4">
      <c r="A99" s="31" t="s">
        <v>342</v>
      </c>
      <c r="B99" s="10" t="s">
        <v>366</v>
      </c>
      <c r="E99" s="7"/>
      <c r="F99" s="7"/>
      <c r="H99" s="8"/>
      <c r="I99" s="3"/>
      <c r="J99" s="3"/>
      <c r="K99" s="3"/>
      <c r="L99" s="3"/>
      <c r="M99" s="3"/>
      <c r="N99" s="3"/>
      <c r="O99" s="3"/>
      <c r="X99" s="14" t="s">
        <v>273</v>
      </c>
      <c r="AF99" s="14" t="s">
        <v>273</v>
      </c>
      <c r="AG99" s="16"/>
      <c r="AH99" s="14" t="s">
        <v>273</v>
      </c>
    </row>
    <row r="100" spans="1:34" s="1" customFormat="1" ht="18" customHeight="1" x14ac:dyDescent="0.35">
      <c r="A100" s="2">
        <v>1</v>
      </c>
      <c r="B100" s="1" t="s">
        <v>6</v>
      </c>
      <c r="C100" s="1" t="s">
        <v>39</v>
      </c>
      <c r="D100" s="1" t="s">
        <v>38</v>
      </c>
      <c r="E100" s="1" t="s">
        <v>0</v>
      </c>
      <c r="F100" s="1" t="s">
        <v>1</v>
      </c>
      <c r="G100" s="1" t="s">
        <v>37</v>
      </c>
      <c r="H100" s="9" t="s">
        <v>98</v>
      </c>
      <c r="I100" s="3">
        <v>490000</v>
      </c>
      <c r="J100" s="3">
        <f>479900*0.9</f>
        <v>431910</v>
      </c>
      <c r="K100" s="3"/>
      <c r="L100" s="3"/>
      <c r="M100" s="3">
        <f>105+6381.64</f>
        <v>6486.64</v>
      </c>
      <c r="N100" s="3"/>
      <c r="O100" s="3">
        <f>+J100-L100-M100-N100</f>
        <v>425423.35999999999</v>
      </c>
      <c r="X100" s="14" t="s">
        <v>273</v>
      </c>
      <c r="AF100" s="14" t="s">
        <v>273</v>
      </c>
      <c r="AG100" s="16"/>
      <c r="AH100" s="14" t="s">
        <v>273</v>
      </c>
    </row>
    <row r="101" spans="1:34" s="6" customFormat="1" ht="18" customHeight="1" x14ac:dyDescent="0.35">
      <c r="A101" s="2">
        <v>2</v>
      </c>
      <c r="B101" s="4" t="s">
        <v>6</v>
      </c>
      <c r="C101" s="32" t="s">
        <v>19</v>
      </c>
      <c r="D101" s="1" t="s">
        <v>18</v>
      </c>
      <c r="E101" s="1" t="s">
        <v>0</v>
      </c>
      <c r="F101" s="1" t="s">
        <v>1</v>
      </c>
      <c r="G101" s="1" t="s">
        <v>17</v>
      </c>
      <c r="H101" s="9" t="s">
        <v>103</v>
      </c>
      <c r="I101" s="3">
        <v>537879</v>
      </c>
      <c r="J101" s="3">
        <f>579000*0.9</f>
        <v>521100</v>
      </c>
      <c r="K101" s="3"/>
      <c r="L101" s="3"/>
      <c r="M101" s="3">
        <v>0</v>
      </c>
      <c r="N101" s="3"/>
      <c r="O101" s="3">
        <f>+J101-L101-M101-N101</f>
        <v>521100</v>
      </c>
      <c r="X101" s="14" t="s">
        <v>273</v>
      </c>
      <c r="AF101" s="14" t="s">
        <v>273</v>
      </c>
      <c r="AG101" s="16"/>
      <c r="AH101" s="14" t="s">
        <v>273</v>
      </c>
    </row>
    <row r="102" spans="1:34" s="6" customFormat="1" ht="18" customHeight="1" x14ac:dyDescent="0.35">
      <c r="A102" s="2">
        <v>3</v>
      </c>
      <c r="B102" s="1" t="s">
        <v>36</v>
      </c>
      <c r="C102" s="32" t="s">
        <v>35</v>
      </c>
      <c r="D102" s="1" t="s">
        <v>34</v>
      </c>
      <c r="E102" s="1" t="s">
        <v>0</v>
      </c>
      <c r="F102" s="1" t="s">
        <v>1</v>
      </c>
      <c r="G102" s="1" t="s">
        <v>33</v>
      </c>
      <c r="H102" s="9" t="s">
        <v>99</v>
      </c>
      <c r="I102" s="3">
        <v>506997</v>
      </c>
      <c r="J102" s="3">
        <f>475000*0.9</f>
        <v>427500</v>
      </c>
      <c r="K102" s="3"/>
      <c r="L102" s="3"/>
      <c r="M102" s="3">
        <f>321000</f>
        <v>321000</v>
      </c>
      <c r="N102" s="3"/>
      <c r="O102" s="22">
        <f>+J102-L102-M102-N102</f>
        <v>106500</v>
      </c>
      <c r="X102" s="14" t="s">
        <v>273</v>
      </c>
      <c r="AF102" s="14" t="s">
        <v>273</v>
      </c>
      <c r="AG102" s="16"/>
      <c r="AH102" s="14" t="s">
        <v>273</v>
      </c>
    </row>
    <row r="103" spans="1:34" ht="18" customHeight="1" x14ac:dyDescent="0.35">
      <c r="I103" s="3"/>
      <c r="J103" s="3"/>
      <c r="K103" s="3"/>
      <c r="L103" s="3"/>
      <c r="M103" s="3"/>
      <c r="N103" s="3"/>
      <c r="O103" s="24">
        <f>SUM(O100:O102)</f>
        <v>1053023.3599999999</v>
      </c>
      <c r="X103" s="14" t="s">
        <v>273</v>
      </c>
      <c r="AF103" s="14" t="s">
        <v>273</v>
      </c>
      <c r="AG103" s="16"/>
      <c r="AH103" s="14" t="s">
        <v>273</v>
      </c>
    </row>
    <row r="104" spans="1:34" ht="18" customHeight="1" x14ac:dyDescent="0.35">
      <c r="I104" s="3"/>
      <c r="J104" s="3"/>
      <c r="K104" s="3"/>
      <c r="L104" s="3"/>
      <c r="M104" s="3"/>
      <c r="N104" s="3"/>
      <c r="X104" s="14" t="s">
        <v>273</v>
      </c>
      <c r="AF104" s="14" t="s">
        <v>273</v>
      </c>
      <c r="AG104" s="16"/>
      <c r="AH104" s="14" t="s">
        <v>273</v>
      </c>
    </row>
    <row r="105" spans="1:34" s="12" customFormat="1" ht="18.600000000000001" thickBot="1" x14ac:dyDescent="0.4">
      <c r="A105" s="40"/>
      <c r="B105" s="12" t="s">
        <v>360</v>
      </c>
      <c r="H105" s="12" t="s">
        <v>329</v>
      </c>
      <c r="I105" s="41"/>
      <c r="J105" s="41"/>
      <c r="K105" s="41"/>
      <c r="L105" s="41"/>
      <c r="M105" s="41"/>
      <c r="N105" s="41"/>
      <c r="O105" s="42">
        <f>SUM(O3:O104)/2</f>
        <v>31753228.25</v>
      </c>
      <c r="X105" s="43" t="s">
        <v>273</v>
      </c>
      <c r="AF105" s="43" t="s">
        <v>273</v>
      </c>
      <c r="AG105" s="16"/>
      <c r="AH105" s="43" t="s">
        <v>273</v>
      </c>
    </row>
    <row r="106" spans="1:34" ht="15" thickTop="1" x14ac:dyDescent="0.3">
      <c r="I106" s="3"/>
      <c r="J106" s="3"/>
      <c r="K106" s="3"/>
      <c r="L106" s="3"/>
      <c r="M106" s="3"/>
      <c r="N106" s="3"/>
    </row>
  </sheetData>
  <autoFilter ref="A1:W105" xr:uid="{E45E2776-0E55-44C3-B5F4-28E48B0AD222}"/>
  <conditionalFormatting sqref="C1:C2">
    <cfRule type="duplicateValues" dxfId="4" priority="11"/>
    <cfRule type="duplicateValues" dxfId="3" priority="12"/>
  </conditionalFormatting>
  <conditionalFormatting sqref="C60:C88">
    <cfRule type="duplicateValues" dxfId="2" priority="24"/>
  </conditionalFormatting>
  <conditionalFormatting sqref="C99:C102 C8:C13 C95:C96 C4:C5 C23:C28 C15:C21 C30:C40">
    <cfRule type="duplicateValues" dxfId="1" priority="20"/>
  </conditionalFormatting>
  <conditionalFormatting sqref="C105:C1048576 D3 C1:C103">
    <cfRule type="duplicateValues" dxfId="0" priority="25"/>
  </conditionalFormatting>
  <hyperlinks>
    <hyperlink ref="H12" r:id="rId1" xr:uid="{73ECCCAD-6455-4E33-BD5B-CE0893C1DF41}"/>
    <hyperlink ref="H15" r:id="rId2" xr:uid="{E13CE7F4-9A24-43B1-A79B-9C696EE656D4}"/>
    <hyperlink ref="H5" r:id="rId3" xr:uid="{70BAF98A-50C8-494A-898C-3440C64C8249}"/>
    <hyperlink ref="H10" r:id="rId4" xr:uid="{F86DEB2F-B6D3-4AA5-A2A0-8B9717A62126}"/>
    <hyperlink ref="H24" r:id="rId5" xr:uid="{E8AF9E07-6D2D-4AE6-9339-ADF7AF5D615E}"/>
    <hyperlink ref="H17" r:id="rId6" xr:uid="{69271F53-4B30-4295-9937-36E1FA843FF6}"/>
    <hyperlink ref="H18" r:id="rId7" xr:uid="{C3EE1D9B-3B85-45CA-B8DF-E347D389C670}"/>
    <hyperlink ref="H33" r:id="rId8" xr:uid="{45AA5F19-2AB0-4077-A642-1AC1B60177A8}"/>
    <hyperlink ref="H11" r:id="rId9" xr:uid="{15491AC6-B636-498F-892B-F457374B4C8C}"/>
    <hyperlink ref="H100" r:id="rId10" xr:uid="{853948F2-086C-4B20-8E9F-DCCDD66B32CA}"/>
    <hyperlink ref="H102" r:id="rId11" xr:uid="{1F36015C-C3BB-4ECE-A040-66EC51739E0B}"/>
    <hyperlink ref="H20" r:id="rId12" xr:uid="{FCAA6941-AE8F-4288-8109-725E1E701B53}"/>
    <hyperlink ref="H27" r:id="rId13" xr:uid="{6437D70B-F519-4A66-AF8C-F8C7A89434E8}"/>
    <hyperlink ref="H101" r:id="rId14" xr:uid="{8C2334A8-38D8-45E0-A52A-D5C5150A97F4}"/>
    <hyperlink ref="H8" r:id="rId15" xr:uid="{4353C428-141B-4E41-BBC4-BC8A513752BA}"/>
    <hyperlink ref="H9" r:id="rId16" xr:uid="{2BC9EEA3-3C1A-4328-9FD8-1848D920C880}"/>
    <hyperlink ref="H21" r:id="rId17" xr:uid="{C7F6A66F-4458-455A-91B1-B6006A580EAB}"/>
    <hyperlink ref="H36" r:id="rId18" xr:uid="{7F46BB92-A33C-499E-852F-311F03935B46}"/>
    <hyperlink ref="H16" r:id="rId19" xr:uid="{6BD95D01-6AA8-41E3-BCE3-8B1552603613}"/>
    <hyperlink ref="H30" r:id="rId20" xr:uid="{2A3EC7EE-394A-47FD-A19E-E99F71541362}"/>
    <hyperlink ref="H31" r:id="rId21" xr:uid="{EB3E9187-7CC2-4A0F-8824-8CBEBD6BD7F7}"/>
    <hyperlink ref="H19" r:id="rId22" xr:uid="{E0AFC5E1-75D8-4182-BFF6-B83649D9043B}"/>
    <hyperlink ref="H39" r:id="rId23" xr:uid="{5B179896-9D58-4477-887E-7F9DB002C503}"/>
    <hyperlink ref="H32" r:id="rId24" xr:uid="{A7E57F5A-0617-40A3-8629-E4B440E14FCF}"/>
    <hyperlink ref="H34" r:id="rId25" xr:uid="{2351B73B-D553-4D99-944A-EAC269B538B7}"/>
    <hyperlink ref="H35" r:id="rId26" xr:uid="{D0C6DE0E-8B5A-4B5A-88B4-B65066ABFDC2}"/>
    <hyperlink ref="H6" r:id="rId27" xr:uid="{A8B65D1E-D00A-4F23-8A4B-A8419437EBEA}"/>
    <hyperlink ref="H96" r:id="rId28" xr:uid="{B3F0981E-FBC2-4967-B237-29997272228F}"/>
    <hyperlink ref="H95" r:id="rId29" xr:uid="{738F3E32-193E-4493-B855-FB104679EEB9}"/>
    <hyperlink ref="H56" r:id="rId30" xr:uid="{B8FC1E37-E2C1-4A0A-A099-8F7E38FB5232}"/>
    <hyperlink ref="H64" r:id="rId31" xr:uid="{378AE40D-59F7-4E08-8C39-EB709E73CDE3}"/>
    <hyperlink ref="H59" r:id="rId32" xr:uid="{C6F92CA9-E59F-4F48-8036-2BF9E4B58930}"/>
    <hyperlink ref="H60" r:id="rId33" xr:uid="{7AACC7FB-35A6-4EB6-BC1A-4D8B6E997838}"/>
    <hyperlink ref="H61" r:id="rId34" xr:uid="{6DC5F441-8426-45C1-BD7C-23DF28E98BF0}"/>
    <hyperlink ref="H62" r:id="rId35" xr:uid="{CCFBE05A-50C0-419A-BE42-29A40697E43D}"/>
    <hyperlink ref="H63" r:id="rId36" xr:uid="{2B3364B0-40EC-46EC-BAB0-C2D8CDCBCBC2}"/>
    <hyperlink ref="H65" r:id="rId37" xr:uid="{7BE2037D-C284-49A9-990E-CB97F73A613C}"/>
    <hyperlink ref="H66" r:id="rId38" xr:uid="{C9BF17AD-C94B-45BE-A2B8-055E3769F885}"/>
    <hyperlink ref="H67" r:id="rId39" xr:uid="{2B575016-B510-4EB4-9361-D4DA60B7CEC2}"/>
    <hyperlink ref="H68" r:id="rId40" xr:uid="{C1AFAE25-0C0D-4610-80CD-02525303DA26}"/>
    <hyperlink ref="H69" r:id="rId41" xr:uid="{033DD538-98BE-4870-9496-D2AB8BE9BC32}"/>
    <hyperlink ref="H70" r:id="rId42" xr:uid="{5C063DC7-DEA1-4D33-9BA1-150FD06B1AF7}"/>
    <hyperlink ref="H71" r:id="rId43" xr:uid="{19FF1029-6F71-41CB-85D6-831A397C4A0C}"/>
    <hyperlink ref="H72" r:id="rId44" xr:uid="{F6BC1ECD-FEAD-451D-B379-D93BEDFFD689}"/>
    <hyperlink ref="H73" r:id="rId45" xr:uid="{00184535-B742-4413-BD9C-9ECD0BDC9F11}"/>
    <hyperlink ref="H74" r:id="rId46" xr:uid="{5E6FEFB6-87E1-4D32-8AEE-F4C402D1446E}"/>
    <hyperlink ref="H75" r:id="rId47" xr:uid="{BD06A5C2-5C73-4E82-8F6E-6830A7CF7CB6}"/>
    <hyperlink ref="H76" r:id="rId48" xr:uid="{5DC17F29-8C41-467F-9704-34858D3E167A}"/>
    <hyperlink ref="H77" r:id="rId49" xr:uid="{2DF710C1-23B9-42B2-8B9C-FB5209E60D17}"/>
    <hyperlink ref="H78" r:id="rId50" xr:uid="{64AC0D42-E64D-44A6-8CCC-7BE5B6EDFE7E}"/>
    <hyperlink ref="H79" r:id="rId51" xr:uid="{471C3ED6-B309-4AAF-B9E4-C02FC5E17DBA}"/>
    <hyperlink ref="H80" r:id="rId52" xr:uid="{AC95B567-E16A-45A2-B3DF-1AFE506A625A}"/>
    <hyperlink ref="H88" r:id="rId53" xr:uid="{6A54AF5A-4225-4BA8-9207-F8BCDD8C0AEC}"/>
    <hyperlink ref="H81" r:id="rId54" xr:uid="{42F1A381-027E-4B6E-910A-EED8A1B90DDA}"/>
    <hyperlink ref="H82" r:id="rId55" xr:uid="{E031E235-9F35-43A0-9A8B-6E84A88C020F}"/>
    <hyperlink ref="H83" r:id="rId56" xr:uid="{67706DCC-35C8-4FB7-99A8-124D5447AE69}"/>
    <hyperlink ref="H84" r:id="rId57" xr:uid="{15BD70F7-A7C7-440D-8A4A-E02BA4B7B73C}"/>
    <hyperlink ref="H87" r:id="rId58" xr:uid="{BA980601-1B28-4613-B765-D7E2B22C5D6F}"/>
    <hyperlink ref="H54" r:id="rId59" xr:uid="{47C8B332-8D33-43DE-A3D1-7D0C3505A034}"/>
    <hyperlink ref="H42" r:id="rId60" xr:uid="{EE869CF6-F536-4C6B-97FB-F141435EFFF8}"/>
    <hyperlink ref="H43" r:id="rId61" xr:uid="{D8A0689D-3E39-40E4-934B-681AA711ADA8}"/>
    <hyperlink ref="H44" r:id="rId62" xr:uid="{E2D159C2-C974-4F44-9905-C45397638ABC}"/>
    <hyperlink ref="H55" r:id="rId63" xr:uid="{D3794BD2-529B-49EA-A762-1610A7EAE6E5}"/>
    <hyperlink ref="H53" r:id="rId64" xr:uid="{83390E87-BD6C-4B1A-95F3-D88098BD138F}"/>
    <hyperlink ref="H91" r:id="rId65" xr:uid="{74583532-94A0-4898-81C1-5172920AE1FF}"/>
    <hyperlink ref="H47" r:id="rId66" xr:uid="{08E0C3F5-C596-43D4-ACE7-070273D9BB60}"/>
    <hyperlink ref="H50" r:id="rId67" xr:uid="{403F372E-8781-4893-855D-C1C6569B7FEB}"/>
    <hyperlink ref="H48" r:id="rId68" xr:uid="{31E1DAC8-7EC9-4717-9658-7416157661B1}"/>
    <hyperlink ref="H49" r:id="rId69" xr:uid="{01D68EF7-6BDA-4E05-BB66-7F816A2332B2}"/>
    <hyperlink ref="H92" r:id="rId70" xr:uid="{F3087598-7A83-48A5-A8AE-E01281A29E1B}"/>
  </hyperlinks>
  <pageMargins left="0.7" right="0.7" top="0.75" bottom="0.75" header="0.3" footer="0.3"/>
  <pageSetup orientation="portrait" r:id="rId7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9eac5d-8401-4706-add5-597e35b58414">
      <Terms xmlns="http://schemas.microsoft.com/office/infopath/2007/PartnerControls"/>
    </lcf76f155ced4ddcb4097134ff3c332f>
    <TaxCatchAll xmlns="b2b960a8-e8e0-4e59-9ecf-8486e22cec5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DCACA596A0742A186E101F9515387" ma:contentTypeVersion="18" ma:contentTypeDescription="Create a new document." ma:contentTypeScope="" ma:versionID="57fae09c0c67e3e59377abd10e03e737">
  <xsd:schema xmlns:xsd="http://www.w3.org/2001/XMLSchema" xmlns:xs="http://www.w3.org/2001/XMLSchema" xmlns:p="http://schemas.microsoft.com/office/2006/metadata/properties" xmlns:ns2="049eac5d-8401-4706-add5-597e35b58414" xmlns:ns3="b2b960a8-e8e0-4e59-9ecf-8486e22cec5a" targetNamespace="http://schemas.microsoft.com/office/2006/metadata/properties" ma:root="true" ma:fieldsID="dbddd16aeddf03dd7a6200525684a0ac" ns2:_="" ns3:_="">
    <xsd:import namespace="049eac5d-8401-4706-add5-597e35b58414"/>
    <xsd:import namespace="b2b960a8-e8e0-4e59-9ecf-8486e22cec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eac5d-8401-4706-add5-597e35b58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19fa8b1-42dc-4597-9bc6-23b7eb6fe2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960a8-e8e0-4e59-9ecf-8486e22cec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c28b98e-711b-40b1-b316-8d40721a1674}" ma:internalName="TaxCatchAll" ma:showField="CatchAllData" ma:web="b2b960a8-e8e0-4e59-9ecf-8486e22cec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05A0-9C85-4FD4-90D4-649F9DF94D03}">
  <ds:schemaRefs>
    <ds:schemaRef ds:uri="http://schemas.microsoft.com/office/2006/metadata/properties"/>
    <ds:schemaRef ds:uri="http://schemas.microsoft.com/office/infopath/2007/PartnerControls"/>
    <ds:schemaRef ds:uri="c9fbc982-4ff3-414b-99c9-3a6c18f9c8d8"/>
    <ds:schemaRef ds:uri="cea465b3-865c-4b27-8a6b-c8581884409a"/>
    <ds:schemaRef ds:uri="049eac5d-8401-4706-add5-597e35b58414"/>
    <ds:schemaRef ds:uri="b2b960a8-e8e0-4e59-9ecf-8486e22cec5a"/>
  </ds:schemaRefs>
</ds:datastoreItem>
</file>

<file path=customXml/itemProps2.xml><?xml version="1.0" encoding="utf-8"?>
<ds:datastoreItem xmlns:ds="http://schemas.openxmlformats.org/officeDocument/2006/customXml" ds:itemID="{D8A91ED4-0F7A-48A9-84E9-69C252CBF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9eac5d-8401-4706-add5-597e35b58414"/>
    <ds:schemaRef ds:uri="b2b960a8-e8e0-4e59-9ecf-8486e22cec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32D527-F171-457D-9EE4-DCF5E74A97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Jaspreet Pahwa</dc:creator>
  <cp:lastModifiedBy>Jaspreet Pahwa</cp:lastModifiedBy>
  <dcterms:created xsi:type="dcterms:W3CDTF">2024-07-10T12:05:36Z</dcterms:created>
  <dcterms:modified xsi:type="dcterms:W3CDTF">2026-06-01T18:55:29Z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0x010100A79DCACA596A0742A186E101F9515387</vt:lpwstr>
  </property>
  <property fmtid="{D5CDD505-2E9C-101B-9397-08002B2CF9AE}" pid="3" name="MediaServiceImageTags">
    <vt:lpwstr/>
  </property>
</Properties>
</file>