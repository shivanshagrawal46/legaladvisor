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B after 14.4.17\MTREH\2017\Final Reports\Half yearly reports\Settlement sheets\"/>
    </mc:Choice>
  </mc:AlternateContent>
  <bookViews>
    <workbookView xWindow="0" yWindow="0" windowWidth="20490" windowHeight="8595"/>
  </bookViews>
  <sheets>
    <sheet name="Sheet1" sheetId="1" r:id="rId1"/>
  </sheets>
  <calcPr calcId="171027"/>
  <fileRecoveryPr autoRecover="0"/>
</workbook>
</file>

<file path=xl/calcChain.xml><?xml version="1.0" encoding="utf-8"?>
<calcChain xmlns="http://schemas.openxmlformats.org/spreadsheetml/2006/main">
  <c r="B27" i="1" l="1"/>
  <c r="B19" i="1"/>
  <c r="B11" i="1"/>
  <c r="G30" i="1" l="1"/>
  <c r="B8" i="1"/>
  <c r="G6" i="1" s="1"/>
  <c r="G4" i="1"/>
  <c r="B13" i="1"/>
  <c r="B42" i="1"/>
  <c r="G23" i="1"/>
  <c r="B15" i="1" l="1"/>
  <c r="G28" i="1" s="1"/>
  <c r="G15" i="1" l="1"/>
  <c r="G21" i="1"/>
  <c r="G24" i="1"/>
  <c r="G25" i="1" s="1"/>
</calcChain>
</file>

<file path=xl/sharedStrings.xml><?xml version="1.0" encoding="utf-8"?>
<sst xmlns="http://schemas.openxmlformats.org/spreadsheetml/2006/main" count="42" uniqueCount="42">
  <si>
    <t>Property Address:</t>
  </si>
  <si>
    <t>ID#</t>
  </si>
  <si>
    <t>Total Expense:</t>
  </si>
  <si>
    <t>Acquisition Date:</t>
  </si>
  <si>
    <t>Proceeds Date:</t>
  </si>
  <si>
    <t>Length of Deal (mos):</t>
  </si>
  <si>
    <t>Total Funded:</t>
  </si>
  <si>
    <t>Gross Profit</t>
  </si>
  <si>
    <t>Cost of Acquisition</t>
  </si>
  <si>
    <t>Purchase Cost:</t>
  </si>
  <si>
    <t>Distributions</t>
  </si>
  <si>
    <t>Proceeds of Sale</t>
  </si>
  <si>
    <t>Deal Profitability</t>
  </si>
  <si>
    <t>Total Return on Investment:</t>
  </si>
  <si>
    <t>Gross Profit Available for Distribution:</t>
  </si>
  <si>
    <t>Net Proceeds Calculation</t>
  </si>
  <si>
    <t>Sale Price:</t>
  </si>
  <si>
    <t>Less Adjustments to Buyer:</t>
  </si>
  <si>
    <t>Less Brokerage Commission Pd:</t>
  </si>
  <si>
    <t>Net Proceeds for Profit Calculation:</t>
  </si>
  <si>
    <t>Adj Net Proceeds of Sale:</t>
  </si>
  <si>
    <t>Plus Adjustments to Seller:</t>
  </si>
  <si>
    <t>Less Seller's Title Expense:</t>
  </si>
  <si>
    <t>Less Legal Fee at Closing of Resale:</t>
  </si>
  <si>
    <t>Less Prior Owner's Equity Guarantee:</t>
  </si>
  <si>
    <t>Less Profit Share Paid to Prior Owner:</t>
  </si>
  <si>
    <t>Less Open Mtgs Paid off at closing:</t>
  </si>
  <si>
    <t>Principle Return Date:</t>
  </si>
  <si>
    <t>Island Properties &amp; Assoc Calculation</t>
  </si>
  <si>
    <t>Mangotree R.E. Holdings Calculation</t>
  </si>
  <si>
    <t>Due to Mangotree RE Holdings -profit distribution:</t>
  </si>
  <si>
    <t>Due to Mangotree RE Holdings -return of principal:</t>
  </si>
  <si>
    <t>ROI/Yr to Mangotree on Deal:</t>
  </si>
  <si>
    <t>Expenses:</t>
  </si>
  <si>
    <t>Exp reim due to IPA Asset Management</t>
  </si>
  <si>
    <t>Proceeds</t>
  </si>
  <si>
    <t>Prior Proceeds received (rents)</t>
  </si>
  <si>
    <t>Paid Separately to IPA Asset Management III,LLC(exp reim):</t>
  </si>
  <si>
    <t>Paid Separately to IPA Asset Management III,LLC:</t>
  </si>
  <si>
    <t>100% Net Profit Due Mangotree:</t>
  </si>
  <si>
    <t>289 Dales Bridge</t>
  </si>
  <si>
    <t>0% Net Profit Due IP&amp;A: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</si>
</sst>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mm/dd/yy;@"/>
    <numFmt numFmtId="166" formatCode="0.0"/>
  </numFmts>
  <fonts count="11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u/>
      <sz val="10"/>
      <name val="Arial"/>
      <family val="2"/>
    </font>
    <font>
      <b/>
      <sz val="9"/>
      <name val="Arial"/>
      <family val="2"/>
    </font>
    <font>
      <b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 applyAlignment="1">
      <alignment horizontal="right"/>
    </xf>
    <xf numFmtId="164" fontId="0" fillId="0" borderId="0" xfId="0" applyNumberFormat="1"/>
    <xf numFmtId="0" fontId="2" fillId="0" borderId="0" xfId="0" applyFont="1" applyAlignment="1">
      <alignment horizontal="center"/>
    </xf>
    <xf numFmtId="165" fontId="2" fillId="0" borderId="0" xfId="0" applyNumberFormat="1" applyFont="1" applyProtection="1">
      <protection locked="0"/>
    </xf>
    <xf numFmtId="166" fontId="2" fillId="0" borderId="0" xfId="0" applyNumberFormat="1" applyFont="1" applyProtection="1">
      <protection hidden="1"/>
    </xf>
    <xf numFmtId="164" fontId="2" fillId="0" borderId="0" xfId="0" applyNumberFormat="1" applyFont="1" applyProtection="1">
      <protection hidden="1"/>
    </xf>
    <xf numFmtId="164" fontId="0" fillId="0" borderId="0" xfId="0" applyNumberFormat="1" applyProtection="1">
      <protection hidden="1"/>
    </xf>
    <xf numFmtId="0" fontId="4" fillId="0" borderId="0" xfId="0" applyFont="1" applyAlignment="1">
      <alignment horizontal="left"/>
    </xf>
    <xf numFmtId="0" fontId="0" fillId="0" borderId="0" xfId="0" applyAlignment="1" applyProtection="1">
      <alignment horizontal="center"/>
      <protection locked="0"/>
    </xf>
    <xf numFmtId="0" fontId="2" fillId="0" borderId="0" xfId="0" applyFont="1"/>
    <xf numFmtId="10" fontId="2" fillId="0" borderId="0" xfId="0" applyNumberFormat="1" applyFont="1" applyProtection="1">
      <protection hidden="1"/>
    </xf>
    <xf numFmtId="0" fontId="0" fillId="0" borderId="0" xfId="0" applyAlignment="1">
      <alignment horizontal="right"/>
    </xf>
    <xf numFmtId="164" fontId="2" fillId="0" borderId="0" xfId="0" applyNumberFormat="1" applyFont="1"/>
    <xf numFmtId="0" fontId="2" fillId="0" borderId="0" xfId="0" applyFont="1" applyAlignment="1"/>
    <xf numFmtId="164" fontId="4" fillId="0" borderId="0" xfId="0" applyNumberFormat="1" applyFont="1" applyProtection="1">
      <protection hidden="1"/>
    </xf>
    <xf numFmtId="8" fontId="2" fillId="0" borderId="0" xfId="0" applyNumberFormat="1" applyFont="1" applyAlignment="1" applyProtection="1">
      <alignment horizontal="right"/>
      <protection hidden="1"/>
    </xf>
    <xf numFmtId="4" fontId="0" fillId="0" borderId="0" xfId="0" applyNumberFormat="1" applyProtection="1">
      <protection locked="0"/>
    </xf>
    <xf numFmtId="4" fontId="0" fillId="0" borderId="1" xfId="0" applyNumberFormat="1" applyBorder="1" applyProtection="1">
      <protection locked="0"/>
    </xf>
    <xf numFmtId="44" fontId="0" fillId="0" borderId="0" xfId="1" applyFont="1" applyProtection="1">
      <protection locked="0"/>
    </xf>
    <xf numFmtId="4" fontId="0" fillId="0" borderId="0" xfId="0" applyNumberFormat="1" applyProtection="1">
      <protection hidden="1"/>
    </xf>
    <xf numFmtId="4" fontId="0" fillId="0" borderId="0" xfId="0" applyNumberFormat="1" applyBorder="1" applyProtection="1">
      <protection hidden="1"/>
    </xf>
    <xf numFmtId="4" fontId="0" fillId="0" borderId="0" xfId="0" applyNumberFormat="1"/>
    <xf numFmtId="164" fontId="2" fillId="0" borderId="2" xfId="0" applyNumberFormat="1" applyFont="1" applyBorder="1" applyProtection="1">
      <protection hidden="1"/>
    </xf>
    <xf numFmtId="164" fontId="0" fillId="0" borderId="0" xfId="0" applyNumberFormat="1" applyBorder="1" applyProtection="1">
      <protection locked="0"/>
    </xf>
    <xf numFmtId="164" fontId="0" fillId="0" borderId="0" xfId="0" applyNumberFormat="1" applyBorder="1"/>
    <xf numFmtId="0" fontId="7" fillId="0" borderId="0" xfId="0" applyFont="1"/>
    <xf numFmtId="164" fontId="2" fillId="0" borderId="0" xfId="0" applyNumberFormat="1" applyFont="1" applyBorder="1" applyProtection="1">
      <protection hidden="1"/>
    </xf>
    <xf numFmtId="164" fontId="2" fillId="0" borderId="0" xfId="0" applyNumberFormat="1" applyFont="1" applyBorder="1"/>
    <xf numFmtId="164" fontId="0" fillId="0" borderId="0" xfId="0" applyNumberFormat="1" applyBorder="1" applyProtection="1">
      <protection hidden="1"/>
    </xf>
    <xf numFmtId="164" fontId="8" fillId="0" borderId="0" xfId="0" applyNumberFormat="1" applyFont="1"/>
    <xf numFmtId="164" fontId="0" fillId="0" borderId="1" xfId="0" applyNumberFormat="1" applyBorder="1"/>
    <xf numFmtId="0" fontId="4" fillId="0" borderId="0" xfId="0" applyFont="1"/>
    <xf numFmtId="164" fontId="4" fillId="0" borderId="1" xfId="1" applyNumberFormat="1" applyFont="1" applyBorder="1" applyProtection="1">
      <protection locked="0"/>
    </xf>
    <xf numFmtId="10" fontId="4" fillId="0" borderId="0" xfId="0" applyNumberFormat="1" applyFont="1" applyProtection="1">
      <protection hidden="1"/>
    </xf>
    <xf numFmtId="0" fontId="4" fillId="0" borderId="0" xfId="0" applyFont="1" applyBorder="1" applyAlignment="1">
      <alignment horizontal="right"/>
    </xf>
    <xf numFmtId="164" fontId="4" fillId="0" borderId="0" xfId="1" applyNumberFormat="1" applyFont="1" applyProtection="1">
      <protection locked="0"/>
    </xf>
    <xf numFmtId="164" fontId="4" fillId="0" borderId="0" xfId="0" applyNumberFormat="1" applyFont="1" applyProtection="1">
      <protection locked="0"/>
    </xf>
    <xf numFmtId="164" fontId="4" fillId="0" borderId="0" xfId="0" applyNumberFormat="1" applyFont="1"/>
    <xf numFmtId="8" fontId="10" fillId="0" borderId="0" xfId="0" applyNumberFormat="1" applyFont="1" applyBorder="1"/>
    <xf numFmtId="0" fontId="10" fillId="0" borderId="0" xfId="0" applyFont="1"/>
    <xf numFmtId="10" fontId="2" fillId="0" borderId="0" xfId="0" applyNumberFormat="1" applyFont="1" applyAlignment="1" applyProtection="1">
      <alignment horizontal="center"/>
      <protection hidden="1"/>
    </xf>
    <xf numFmtId="1" fontId="10" fillId="0" borderId="0" xfId="0" applyNumberFormat="1" applyFont="1" applyProtection="1">
      <protection locked="0"/>
    </xf>
    <xf numFmtId="0" fontId="9" fillId="0" borderId="0" xfId="0" applyFont="1" applyAlignment="1">
      <alignment horizontal="right"/>
    </xf>
    <xf numFmtId="165" fontId="10" fillId="0" borderId="0" xfId="0" applyNumberFormat="1" applyFont="1" applyProtection="1">
      <protection locked="0"/>
    </xf>
    <xf numFmtId="0" fontId="2" fillId="0" borderId="0" xfId="0" applyFont="1" applyAlignment="1">
      <alignment horizontal="center"/>
    </xf>
    <xf numFmtId="0" fontId="6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applyAlignment="1" applyProtection="1">
      <alignment horizontal="center"/>
      <protection hidden="1"/>
    </xf>
    <xf numFmtId="0" fontId="5" fillId="0" borderId="0" xfId="0" applyFont="1" applyBorder="1" applyAlignment="1">
      <alignment horizontal="center"/>
    </xf>
    <xf numFmtId="0" fontId="2" fillId="0" borderId="0" xfId="0" applyFont="1" applyAlignment="1" applyProtection="1">
      <alignment horizontal="center"/>
      <protection locked="0"/>
    </xf>
    <xf numFmtId="0" fontId="4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4" fillId="0" borderId="0" xfId="0" applyFont="1" applyFill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tabSelected="1" view="pageLayout" zoomScaleNormal="100" workbookViewId="0"/>
  </sheetViews>
  <sheetFormatPr defaultRowHeight="12.75" x14ac:dyDescent="0.2"/>
  <cols>
    <col min="1" max="1" width="34.28515625" customWidth="1"/>
    <col min="2" max="2" width="12.7109375" customWidth="1"/>
    <col min="3" max="3" width="1.42578125" customWidth="1"/>
    <col min="4" max="4" width="15.140625" customWidth="1"/>
    <col min="5" max="5" width="3" customWidth="1"/>
    <col min="6" max="6" width="26.7109375" customWidth="1"/>
    <col min="7" max="7" width="11.7109375" bestFit="1" customWidth="1"/>
  </cols>
  <sheetData>
    <row r="1" spans="1:7" x14ac:dyDescent="0.2">
      <c r="A1" s="1" t="s">
        <v>0</v>
      </c>
      <c r="B1" s="52" t="s">
        <v>40</v>
      </c>
      <c r="C1" s="52"/>
      <c r="D1" s="52"/>
      <c r="E1" s="45" t="s">
        <v>3</v>
      </c>
      <c r="F1" s="45"/>
      <c r="G1" s="4">
        <v>41876</v>
      </c>
    </row>
    <row r="2" spans="1:7" x14ac:dyDescent="0.2">
      <c r="A2" s="1" t="s">
        <v>1</v>
      </c>
      <c r="B2" s="42"/>
      <c r="E2" s="45" t="s">
        <v>4</v>
      </c>
      <c r="F2" s="45"/>
      <c r="G2" s="44">
        <v>42900</v>
      </c>
    </row>
    <row r="3" spans="1:7" x14ac:dyDescent="0.2">
      <c r="F3" s="3" t="s">
        <v>27</v>
      </c>
      <c r="G3" s="44">
        <v>42900</v>
      </c>
    </row>
    <row r="4" spans="1:7" x14ac:dyDescent="0.2">
      <c r="A4" s="3" t="s">
        <v>8</v>
      </c>
      <c r="B4" s="2"/>
      <c r="E4" s="45" t="s">
        <v>5</v>
      </c>
      <c r="F4" s="45"/>
      <c r="G4" s="5">
        <f>SUM(G3-G1)/30.3</f>
        <v>33.795379537953792</v>
      </c>
    </row>
    <row r="5" spans="1:7" x14ac:dyDescent="0.2">
      <c r="A5" s="8" t="s">
        <v>9</v>
      </c>
      <c r="B5" s="36">
        <v>762141.68</v>
      </c>
    </row>
    <row r="6" spans="1:7" x14ac:dyDescent="0.2">
      <c r="A6" s="32" t="s">
        <v>33</v>
      </c>
      <c r="B6" s="37"/>
      <c r="D6" s="2"/>
      <c r="E6" s="45" t="s">
        <v>6</v>
      </c>
      <c r="F6" s="45"/>
      <c r="G6" s="16">
        <f>B8</f>
        <v>762141.68</v>
      </c>
    </row>
    <row r="7" spans="1:7" x14ac:dyDescent="0.2">
      <c r="A7" s="32" t="s">
        <v>34</v>
      </c>
      <c r="B7" s="31"/>
      <c r="D7" s="24"/>
      <c r="E7" s="45"/>
      <c r="F7" s="45"/>
      <c r="G7" s="9"/>
    </row>
    <row r="8" spans="1:7" x14ac:dyDescent="0.2">
      <c r="A8" s="1" t="s">
        <v>2</v>
      </c>
      <c r="B8" s="6">
        <f>SUM(B4:B7)</f>
        <v>762141.68</v>
      </c>
    </row>
    <row r="9" spans="1:7" x14ac:dyDescent="0.2">
      <c r="B9" s="38"/>
      <c r="D9" s="39"/>
    </row>
    <row r="10" spans="1:7" x14ac:dyDescent="0.2">
      <c r="A10" s="3" t="s">
        <v>11</v>
      </c>
      <c r="B10" s="15"/>
    </row>
    <row r="11" spans="1:7" x14ac:dyDescent="0.2">
      <c r="A11" s="8" t="s">
        <v>35</v>
      </c>
      <c r="B11" s="38">
        <f>762141.68+147000</f>
        <v>909141.68</v>
      </c>
      <c r="C11" s="26"/>
      <c r="D11" s="40"/>
    </row>
    <row r="12" spans="1:7" x14ac:dyDescent="0.2">
      <c r="A12" s="8" t="s">
        <v>36</v>
      </c>
      <c r="B12" s="33"/>
    </row>
    <row r="13" spans="1:7" x14ac:dyDescent="0.2">
      <c r="A13" s="1" t="s">
        <v>20</v>
      </c>
      <c r="B13" s="15">
        <f>SUM(B11:B12)</f>
        <v>909141.68</v>
      </c>
    </row>
    <row r="14" spans="1:7" x14ac:dyDescent="0.2">
      <c r="B14" s="2"/>
      <c r="D14" s="45" t="s">
        <v>12</v>
      </c>
      <c r="E14" s="45"/>
      <c r="F14" s="45"/>
      <c r="G14" s="45"/>
    </row>
    <row r="15" spans="1:7" x14ac:dyDescent="0.2">
      <c r="A15" s="3" t="s">
        <v>7</v>
      </c>
      <c r="B15" s="6">
        <f>SUM(B13-B8)</f>
        <v>147000</v>
      </c>
      <c r="E15" s="48" t="s">
        <v>13</v>
      </c>
      <c r="F15" s="48"/>
      <c r="G15" s="34">
        <f>SUM(B15/B8)</f>
        <v>0.19287752376959622</v>
      </c>
    </row>
    <row r="16" spans="1:7" x14ac:dyDescent="0.2">
      <c r="B16" s="20"/>
      <c r="E16" s="54"/>
      <c r="F16" s="54"/>
      <c r="G16" s="11"/>
    </row>
    <row r="17" spans="1:7" x14ac:dyDescent="0.2">
      <c r="B17" s="21"/>
    </row>
    <row r="18" spans="1:7" x14ac:dyDescent="0.2">
      <c r="A18" s="3" t="s">
        <v>29</v>
      </c>
      <c r="B18" s="2"/>
    </row>
    <row r="19" spans="1:7" x14ac:dyDescent="0.2">
      <c r="A19" s="55" t="s">
        <v>39</v>
      </c>
      <c r="B19" s="6">
        <f>SUM(B15*100%)</f>
        <v>147000</v>
      </c>
    </row>
    <row r="20" spans="1:7" x14ac:dyDescent="0.2">
      <c r="A20" s="32"/>
      <c r="B20" s="21"/>
      <c r="D20" s="51" t="s">
        <v>10</v>
      </c>
      <c r="E20" s="51"/>
      <c r="F20" s="51"/>
      <c r="G20" s="51"/>
    </row>
    <row r="21" spans="1:7" x14ac:dyDescent="0.2">
      <c r="B21" s="13"/>
      <c r="D21" s="49" t="s">
        <v>14</v>
      </c>
      <c r="E21" s="49"/>
      <c r="F21" s="49"/>
      <c r="G21" s="7">
        <f>(B15)</f>
        <v>147000</v>
      </c>
    </row>
    <row r="22" spans="1:7" x14ac:dyDescent="0.2">
      <c r="A22" s="32" t="s">
        <v>32</v>
      </c>
      <c r="B22" s="41"/>
      <c r="F22" s="10"/>
      <c r="G22" s="30"/>
    </row>
    <row r="23" spans="1:7" x14ac:dyDescent="0.2">
      <c r="B23" s="21"/>
      <c r="D23" s="49" t="s">
        <v>31</v>
      </c>
      <c r="E23" s="49"/>
      <c r="F23" s="49"/>
      <c r="G23" s="7">
        <f>SUM(G6)</f>
        <v>762141.68</v>
      </c>
    </row>
    <row r="24" spans="1:7" x14ac:dyDescent="0.2">
      <c r="B24" s="21"/>
      <c r="D24" s="49" t="s">
        <v>30</v>
      </c>
      <c r="E24" s="49"/>
      <c r="F24" s="49"/>
      <c r="G24" s="31">
        <f>SUM(B19)</f>
        <v>147000</v>
      </c>
    </row>
    <row r="25" spans="1:7" x14ac:dyDescent="0.2">
      <c r="B25" s="21"/>
      <c r="F25" s="12"/>
      <c r="G25" s="2">
        <f>SUM(G23:G24)</f>
        <v>909141.68</v>
      </c>
    </row>
    <row r="26" spans="1:7" x14ac:dyDescent="0.2">
      <c r="A26" s="1" t="s">
        <v>28</v>
      </c>
      <c r="B26" s="6"/>
      <c r="D26" s="14"/>
      <c r="F26" s="35"/>
      <c r="G26" s="25"/>
    </row>
    <row r="27" spans="1:7" x14ac:dyDescent="0.2">
      <c r="A27" s="55" t="s">
        <v>41</v>
      </c>
      <c r="B27" s="6">
        <f>SUM(B15*0%)</f>
        <v>0</v>
      </c>
      <c r="F27" s="32"/>
      <c r="G27" s="2"/>
    </row>
    <row r="28" spans="1:7" x14ac:dyDescent="0.2">
      <c r="A28" s="32"/>
      <c r="B28" s="6"/>
      <c r="E28" s="43"/>
      <c r="F28" s="43" t="s">
        <v>38</v>
      </c>
      <c r="G28" s="6">
        <f>SUM(B27)</f>
        <v>0</v>
      </c>
    </row>
    <row r="29" spans="1:7" x14ac:dyDescent="0.2">
      <c r="E29" s="10"/>
      <c r="F29" s="1"/>
      <c r="G29" s="1"/>
    </row>
    <row r="30" spans="1:7" x14ac:dyDescent="0.2">
      <c r="E30" s="43"/>
      <c r="F30" s="43" t="s">
        <v>37</v>
      </c>
      <c r="G30" s="13">
        <f>SUM(B7)</f>
        <v>0</v>
      </c>
    </row>
    <row r="31" spans="1:7" x14ac:dyDescent="0.2">
      <c r="B31" s="2"/>
    </row>
    <row r="32" spans="1:7" x14ac:dyDescent="0.2">
      <c r="A32" s="3" t="s">
        <v>15</v>
      </c>
      <c r="B32" s="22"/>
    </row>
    <row r="33" spans="1:7" x14ac:dyDescent="0.2">
      <c r="A33" t="s">
        <v>16</v>
      </c>
      <c r="B33" s="19"/>
    </row>
    <row r="34" spans="1:7" x14ac:dyDescent="0.2">
      <c r="A34" t="s">
        <v>21</v>
      </c>
      <c r="B34" s="17"/>
      <c r="C34" s="12"/>
    </row>
    <row r="35" spans="1:7" x14ac:dyDescent="0.2">
      <c r="A35" t="s">
        <v>17</v>
      </c>
      <c r="B35" s="17"/>
      <c r="C35" s="14"/>
    </row>
    <row r="36" spans="1:7" x14ac:dyDescent="0.2">
      <c r="A36" t="s">
        <v>18</v>
      </c>
      <c r="B36" s="17"/>
      <c r="C36" s="1"/>
    </row>
    <row r="37" spans="1:7" x14ac:dyDescent="0.2">
      <c r="A37" t="s">
        <v>22</v>
      </c>
      <c r="B37" s="17"/>
      <c r="C37" s="12"/>
    </row>
    <row r="38" spans="1:7" x14ac:dyDescent="0.2">
      <c r="A38" t="s">
        <v>23</v>
      </c>
      <c r="B38" s="17"/>
      <c r="C38" s="12"/>
      <c r="D38" s="45"/>
      <c r="E38" s="45"/>
      <c r="F38" s="45"/>
      <c r="G38" s="6"/>
    </row>
    <row r="39" spans="1:7" x14ac:dyDescent="0.2">
      <c r="A39" t="s">
        <v>26</v>
      </c>
      <c r="B39" s="17"/>
      <c r="C39" s="12"/>
      <c r="D39" s="53"/>
      <c r="E39" s="53"/>
      <c r="F39" s="53"/>
      <c r="G39" s="15"/>
    </row>
    <row r="40" spans="1:7" x14ac:dyDescent="0.2">
      <c r="A40" t="s">
        <v>24</v>
      </c>
      <c r="B40" s="17"/>
      <c r="D40" s="48"/>
      <c r="E40" s="48"/>
      <c r="F40" s="48"/>
      <c r="G40" s="2"/>
    </row>
    <row r="41" spans="1:7" x14ac:dyDescent="0.2">
      <c r="A41" t="s">
        <v>25</v>
      </c>
      <c r="B41" s="18"/>
      <c r="D41" s="48"/>
      <c r="E41" s="48"/>
      <c r="F41" s="48"/>
      <c r="G41" s="2"/>
    </row>
    <row r="42" spans="1:7" ht="13.5" thickBot="1" x14ac:dyDescent="0.25">
      <c r="A42" s="10" t="s">
        <v>19</v>
      </c>
      <c r="B42" s="23">
        <f>SUM(B33+B34-B35-B36-B37-B38-B39-B40-B41)</f>
        <v>0</v>
      </c>
      <c r="D42" s="48"/>
      <c r="E42" s="48"/>
      <c r="F42" s="48"/>
      <c r="G42" s="25"/>
    </row>
    <row r="43" spans="1:7" ht="13.5" thickTop="1" x14ac:dyDescent="0.2">
      <c r="D43" s="49"/>
      <c r="E43" s="49"/>
      <c r="F43" s="49"/>
      <c r="G43" s="28"/>
    </row>
    <row r="44" spans="1:7" x14ac:dyDescent="0.2">
      <c r="D44" s="50"/>
      <c r="E44" s="50"/>
      <c r="F44" s="50"/>
      <c r="G44" s="29"/>
    </row>
    <row r="45" spans="1:7" x14ac:dyDescent="0.2">
      <c r="D45" s="45"/>
      <c r="E45" s="45"/>
      <c r="F45" s="45"/>
      <c r="G45" s="29"/>
    </row>
    <row r="46" spans="1:7" x14ac:dyDescent="0.2">
      <c r="D46" s="47"/>
      <c r="E46" s="47"/>
      <c r="F46" s="47"/>
      <c r="G46" s="24"/>
    </row>
    <row r="47" spans="1:7" x14ac:dyDescent="0.2">
      <c r="D47" s="47"/>
      <c r="E47" s="47"/>
      <c r="F47" s="47"/>
      <c r="G47" s="24"/>
    </row>
    <row r="48" spans="1:7" x14ac:dyDescent="0.2">
      <c r="D48" s="47"/>
      <c r="E48" s="47"/>
      <c r="F48" s="47"/>
      <c r="G48" s="24"/>
    </row>
    <row r="49" spans="4:7" x14ac:dyDescent="0.2">
      <c r="D49" s="46"/>
      <c r="E49" s="46"/>
      <c r="F49" s="46"/>
      <c r="G49" s="24"/>
    </row>
    <row r="50" spans="4:7" x14ac:dyDescent="0.2">
      <c r="D50" s="46"/>
      <c r="E50" s="46"/>
      <c r="F50" s="46"/>
      <c r="G50" s="24"/>
    </row>
    <row r="51" spans="4:7" x14ac:dyDescent="0.2">
      <c r="D51" s="47"/>
      <c r="E51" s="47"/>
      <c r="F51" s="47"/>
      <c r="G51" s="24"/>
    </row>
    <row r="52" spans="4:7" x14ac:dyDescent="0.2">
      <c r="D52" s="47"/>
      <c r="E52" s="47"/>
      <c r="F52" s="47"/>
      <c r="G52" s="24"/>
    </row>
    <row r="53" spans="4:7" x14ac:dyDescent="0.2">
      <c r="D53" s="45"/>
      <c r="E53" s="45"/>
      <c r="F53" s="45"/>
      <c r="G53" s="27"/>
    </row>
  </sheetData>
  <mergeCells count="29">
    <mergeCell ref="D21:F21"/>
    <mergeCell ref="D40:F40"/>
    <mergeCell ref="D20:G20"/>
    <mergeCell ref="E7:F7"/>
    <mergeCell ref="E15:F15"/>
    <mergeCell ref="D14:G14"/>
    <mergeCell ref="E6:F6"/>
    <mergeCell ref="B1:D1"/>
    <mergeCell ref="E1:F1"/>
    <mergeCell ref="E2:F2"/>
    <mergeCell ref="E4:F4"/>
    <mergeCell ref="D39:F39"/>
    <mergeCell ref="D24:F24"/>
    <mergeCell ref="D38:F38"/>
    <mergeCell ref="E16:F16"/>
    <mergeCell ref="D23:F23"/>
    <mergeCell ref="D45:F45"/>
    <mergeCell ref="D46:F46"/>
    <mergeCell ref="D47:F47"/>
    <mergeCell ref="D41:F41"/>
    <mergeCell ref="D48:F48"/>
    <mergeCell ref="D42:F42"/>
    <mergeCell ref="D43:F43"/>
    <mergeCell ref="D44:F44"/>
    <mergeCell ref="D53:F53"/>
    <mergeCell ref="D50:F50"/>
    <mergeCell ref="D51:F51"/>
    <mergeCell ref="D52:F52"/>
    <mergeCell ref="D49:F49"/>
  </mergeCells>
  <phoneticPr fontId="3" type="noConversion"/>
  <printOptions horizontalCentered="1" gridLines="1"/>
  <pageMargins left="0.25" right="0.25" top="1" bottom="1" header="0.5" footer="0.5"/>
  <pageSetup scale="97" orientation="portrait" r:id="rId1"/>
  <headerFooter alignWithMargins="0">
    <oddHeader>&amp;C&amp;"Arial,Bold Italic"&amp;16Profit Distribution/Settlement Sheet-Mangotree
 funded Deals</oddHeader>
    <oddFooter>&amp;CPrepared by David DeRosa &amp;D&amp;RPage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Island Properties &amp; Equities,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Dino P. Ascari</dc:creator>
  <cp:lastModifiedBy>Rakesh</cp:lastModifiedBy>
  <cp:lastPrinted>2017-07-06T20:12:14Z</cp:lastPrinted>
  <dcterms:created xsi:type="dcterms:W3CDTF">2004-06-24T16:56:07Z</dcterms:created>
  <dcterms:modified xsi:type="dcterms:W3CDTF">2017-08-10T15:57:36Z</dcterms:modified>
</cp:coreProperties>
</file>